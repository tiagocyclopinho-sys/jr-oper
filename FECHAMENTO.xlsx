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S:\Logistica\01 - LOGISTICA INFORMATIVO\11 - CARGAS E ROTAS\Escalas e Gestão de Embarque\2026.08 - AGOSTO\"/>
    </mc:Choice>
  </mc:AlternateContent>
  <xr:revisionPtr revIDLastSave="0" documentId="13_ncr:1_{0E23FB8D-62A4-4C9F-A42A-8BDDCAAC6ED3}" xr6:coauthVersionLast="47" xr6:coauthVersionMax="47" xr10:uidLastSave="{00000000-0000-0000-0000-000000000000}"/>
  <bookViews>
    <workbookView xWindow="-120" yWindow="-120" windowWidth="29040" windowHeight="15720" xr2:uid="{904A67C7-9331-40F0-86A1-3B327AA91D31}"/>
  </bookViews>
  <sheets>
    <sheet name="Escala" sheetId="1" r:id="rId1"/>
    <sheet name="BD" sheetId="3" r:id="rId2"/>
  </sheets>
  <definedNames>
    <definedName name="_xlnm._FilterDatabase" localSheetId="1" hidden="1">BD!$A$1:$F$48</definedName>
    <definedName name="_xlnm.Print_Area" localSheetId="0">Escala!$A:$L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0" i="1" l="1"/>
  <c r="J20" i="1"/>
  <c r="J15" i="1"/>
  <c r="J22" i="1" s="1"/>
  <c r="H15" i="1"/>
  <c r="I15" i="1"/>
  <c r="I22" i="1" s="1"/>
  <c r="H20" i="1"/>
  <c r="H22" i="1" l="1"/>
</calcChain>
</file>

<file path=xl/sharedStrings.xml><?xml version="1.0" encoding="utf-8"?>
<sst xmlns="http://schemas.openxmlformats.org/spreadsheetml/2006/main" count="534" uniqueCount="284">
  <si>
    <t xml:space="preserve"> GESTÃO DE EMBARQUES - FRIO</t>
  </si>
  <si>
    <t>Qtd</t>
  </si>
  <si>
    <t>Carreg</t>
  </si>
  <si>
    <t>Rota - Destino</t>
  </si>
  <si>
    <t>PLACA</t>
  </si>
  <si>
    <t>Motorista</t>
  </si>
  <si>
    <t>Ajudante</t>
  </si>
  <si>
    <t>Peso</t>
  </si>
  <si>
    <t xml:space="preserve">Valor </t>
  </si>
  <si>
    <t>OBSERVAÇÃO</t>
  </si>
  <si>
    <t xml:space="preserve"> GESTÃO DE EMBARQUES - SECO</t>
  </si>
  <si>
    <t>TOTAL DA MONTAGEM - FRIO E SECO  =====&gt;</t>
  </si>
  <si>
    <t>Rotas</t>
  </si>
  <si>
    <t>Veículo</t>
  </si>
  <si>
    <t>QKJ5684</t>
  </si>
  <si>
    <t>RSE9G33</t>
  </si>
  <si>
    <t>OLH8E48</t>
  </si>
  <si>
    <t>RSE9F93</t>
  </si>
  <si>
    <t>RSD8J69</t>
  </si>
  <si>
    <t>OLI0E88</t>
  </si>
  <si>
    <t>OLI2E91</t>
  </si>
  <si>
    <t>RSD6F59</t>
  </si>
  <si>
    <t>RSE9G70</t>
  </si>
  <si>
    <t>RSE9G00</t>
  </si>
  <si>
    <t>RSE9G63</t>
  </si>
  <si>
    <t>RSE9G23</t>
  </si>
  <si>
    <t>RSC8G18</t>
  </si>
  <si>
    <t>RSC7E79</t>
  </si>
  <si>
    <t>OLI2E18</t>
  </si>
  <si>
    <t>RSD7I68</t>
  </si>
  <si>
    <t>RSE9G60</t>
  </si>
  <si>
    <t>RSC7E69</t>
  </si>
  <si>
    <t>RSE9H70</t>
  </si>
  <si>
    <t>RSE9G93</t>
  </si>
  <si>
    <t>RSC7E49</t>
  </si>
  <si>
    <t>RSE9H43</t>
  </si>
  <si>
    <t>ABNER ARAUJO BORBA</t>
  </si>
  <si>
    <t>ADEMAR FILHO DE OLIVEIRA</t>
  </si>
  <si>
    <t>ANDERSON JUNIOR ALVES LIMA</t>
  </si>
  <si>
    <t>CHARLES SOARES LOPES</t>
  </si>
  <si>
    <t>DERVAL FIRMINO MARTINS</t>
  </si>
  <si>
    <t>DIOGENES MARTINS DA SILVA</t>
  </si>
  <si>
    <t>DOUGLAS MIGUEL DOS SANTOS</t>
  </si>
  <si>
    <t>ELINALDO FERREIRA DE SOUZA</t>
  </si>
  <si>
    <t>GILCIMAR GOMES BARROS</t>
  </si>
  <si>
    <t>GUSTAVO COSTA DESTRO</t>
  </si>
  <si>
    <t>JEFERSON ALVES VERA</t>
  </si>
  <si>
    <t>JEREMIAS FRANCA SOUSA</t>
  </si>
  <si>
    <t>JOAO EVANGELISTA FAUSTINO DA SILVA</t>
  </si>
  <si>
    <t>JOAO PAULLO MARTINS DE SOUSA</t>
  </si>
  <si>
    <t>JUNIOR NUNES</t>
  </si>
  <si>
    <t>LINDURVAN ALENCAR DE SOUSA</t>
  </si>
  <si>
    <t>NILMAR PEREIRA DOS SANTOS SOUZA</t>
  </si>
  <si>
    <t>NILVAN OLIVEIRA DE SOUSA</t>
  </si>
  <si>
    <t>PAULO DOS SANTOS RIBEIRO</t>
  </si>
  <si>
    <t>RAIMUNDO CAVALCANTE SILVA FILHO</t>
  </si>
  <si>
    <t>RENATO DIAS PEREIRA</t>
  </si>
  <si>
    <t>RICARDO BATISTA FREITAS</t>
  </si>
  <si>
    <t>RODRIGO OLIVEIRA SOUSA</t>
  </si>
  <si>
    <t>VALTONIO MASCIMO</t>
  </si>
  <si>
    <t>DIEGO MORAES DA SILVA</t>
  </si>
  <si>
    <t>JOAO MARCOS SANTOS OLIVEIRA</t>
  </si>
  <si>
    <t>JOSE DE RIBAMAR DE SOUSA ROCHA</t>
  </si>
  <si>
    <t>LUCAS DE LIMA SOUSA</t>
  </si>
  <si>
    <t>OZIEL RODRIGUES DA SILVA</t>
  </si>
  <si>
    <t>THIAGO SOARES PIRES</t>
  </si>
  <si>
    <t>MWP6E08</t>
  </si>
  <si>
    <t>RIN7G15</t>
  </si>
  <si>
    <t>RSB4C44</t>
  </si>
  <si>
    <t>RSB4D14</t>
  </si>
  <si>
    <t>RSB4D44</t>
  </si>
  <si>
    <t>RSB4G54</t>
  </si>
  <si>
    <t>RSB4G64</t>
  </si>
  <si>
    <t>RSC0C07</t>
  </si>
  <si>
    <t>RSC0C13</t>
  </si>
  <si>
    <t>RSD6G99</t>
  </si>
  <si>
    <t>QWA2318</t>
  </si>
  <si>
    <t>CONDUTOR</t>
  </si>
  <si>
    <t>RESERVA</t>
  </si>
  <si>
    <t>ADRIANO NASCIMENTO DE CASTRO</t>
  </si>
  <si>
    <t>ANTONIO FRANCISCO DE LIMA</t>
  </si>
  <si>
    <t>DHANIEL MACIEL SALES</t>
  </si>
  <si>
    <t>GLEISON RODRIGUES DIAS</t>
  </si>
  <si>
    <t>JOSE PAIXAO COELHO DA SILVA</t>
  </si>
  <si>
    <t>JUAN RAMIREZ GAMA COSTA</t>
  </si>
  <si>
    <t>LUCIO RODRIGUES BOTELHO</t>
  </si>
  <si>
    <t>RAIMUNDO NONATO DE JESUS PEREIRA</t>
  </si>
  <si>
    <t>CAMPOS LINDOS</t>
  </si>
  <si>
    <t>COMBINADO</t>
  </si>
  <si>
    <t>DIANÓPOLIS</t>
  </si>
  <si>
    <t>FORMOSO DO ARAGUAIA</t>
  </si>
  <si>
    <t>GURUPI</t>
  </si>
  <si>
    <t>PARAÍSO DO TOCANTINS</t>
  </si>
  <si>
    <t>ITACAJÁ</t>
  </si>
  <si>
    <t>MIRACEMA</t>
  </si>
  <si>
    <t>PALMAS NORTE</t>
  </si>
  <si>
    <t>PALMAS SUL</t>
  </si>
  <si>
    <t>SERRA DO LAJEADO</t>
  </si>
  <si>
    <t>PALMEIRÓPOLIS</t>
  </si>
  <si>
    <t>PORTO NACIONAL</t>
  </si>
  <si>
    <t>ARAGUAINA</t>
  </si>
  <si>
    <t>MARABÁ E NOVO REPARTIMENTO</t>
  </si>
  <si>
    <t>SÃO FELIX, XINGUARA E TUCUMÃ</t>
  </si>
  <si>
    <t>ARAGUAINA III</t>
  </si>
  <si>
    <t>COLINAS</t>
  </si>
  <si>
    <t>TOCANTINÓPOLIS</t>
  </si>
  <si>
    <t>XAMBIOÁ</t>
  </si>
  <si>
    <t>NOVA OLINDA</t>
  </si>
  <si>
    <t>BABAÇULÃNDIA E FILADÉLFIA</t>
  </si>
  <si>
    <t>GUARAÍ</t>
  </si>
  <si>
    <t>MARABÁ</t>
  </si>
  <si>
    <t>CONCEIÇÃO, REDEN E SANTANA</t>
  </si>
  <si>
    <t>ALIANÇA E REPOSICAO</t>
  </si>
  <si>
    <t>LAGOA DA CONFUSÃO</t>
  </si>
  <si>
    <t>ARAGUATINS</t>
  </si>
  <si>
    <t>AUGUSTINÓPOLIS</t>
  </si>
  <si>
    <t>DIVINÓPOLIS</t>
  </si>
  <si>
    <t>PEDRO AFONSO</t>
  </si>
  <si>
    <t>ARAGUAINA CAMPELO</t>
  </si>
  <si>
    <t>SANTA FÉ</t>
  </si>
  <si>
    <t>ELDORADO E PARAUAPEBAS</t>
  </si>
  <si>
    <t>CANAÃ</t>
  </si>
  <si>
    <t>SÃO GERALDO</t>
  </si>
  <si>
    <t>COLMÉIA</t>
  </si>
  <si>
    <t>AXIXÁ</t>
  </si>
  <si>
    <t>SECO - CENTRO SUL TO</t>
  </si>
  <si>
    <t>SECO - SUL</t>
  </si>
  <si>
    <t>SECO - BICO</t>
  </si>
  <si>
    <t>SECO - CENTRO NORTE</t>
  </si>
  <si>
    <t>SECO - ARAGUAINA</t>
  </si>
  <si>
    <t>SECO - ARAGUAINA DIÁRIO</t>
  </si>
  <si>
    <t>JOSE DOS REIS DA SILVA SANTOS</t>
  </si>
  <si>
    <t>LUCAS GOMES DA SILVA</t>
  </si>
  <si>
    <t>SECO - PALMAS</t>
  </si>
  <si>
    <t>JARDENIR ALVES DA ANUNCIACAO</t>
  </si>
  <si>
    <t>IGOR DE ARAUJO</t>
  </si>
  <si>
    <t>SETOR</t>
  </si>
  <si>
    <t>SECOS</t>
  </si>
  <si>
    <t>FRIOS</t>
  </si>
  <si>
    <t>DEUZIMAR DIAS LIMA</t>
  </si>
  <si>
    <t>MAYCON BARROS DE OLIVEIRA</t>
  </si>
  <si>
    <t>JOSE ELIAS MARTINS JUNIOR</t>
  </si>
  <si>
    <t>ULISSES GOMES BARBOSA</t>
  </si>
  <si>
    <t>FELIX AVELINO DE BRITO GUIDA</t>
  </si>
  <si>
    <t>JEREMIAS FRANÇA SOUSA</t>
  </si>
  <si>
    <t>ISAFAN JUNIOR DE OLIVEIRA MOTA</t>
  </si>
  <si>
    <t>INATIVO</t>
  </si>
  <si>
    <t>COD ERP</t>
  </si>
  <si>
    <t>PRESTADOR AJUDANTE</t>
  </si>
  <si>
    <t>CIDADE</t>
  </si>
  <si>
    <t>63 99119-3555</t>
  </si>
  <si>
    <t>63 99297-1202</t>
  </si>
  <si>
    <t>MARABA</t>
  </si>
  <si>
    <t>94 99197-3607</t>
  </si>
  <si>
    <t>DOUGLAS ALEXANDRE SANTOS FERREIRA</t>
  </si>
  <si>
    <t>GILSON SILVA PEREIRA</t>
  </si>
  <si>
    <t>PALMAS</t>
  </si>
  <si>
    <t>63 99231-6379</t>
  </si>
  <si>
    <t>JOAO FILHO RODRIGUES BATISTA</t>
  </si>
  <si>
    <t>63 99233-0431</t>
  </si>
  <si>
    <t>63 99201-5162</t>
  </si>
  <si>
    <t>63 99204-3862</t>
  </si>
  <si>
    <t>63 99261-7648</t>
  </si>
  <si>
    <t>63 97400-0376</t>
  </si>
  <si>
    <t>63 99205-3278</t>
  </si>
  <si>
    <t>63 99238-4611</t>
  </si>
  <si>
    <t>RENIO BARBOSA ARAUJO</t>
  </si>
  <si>
    <t>63 99246-0943</t>
  </si>
  <si>
    <t>DOUGLAS DA COSTA LIMA</t>
  </si>
  <si>
    <t>WELTON JHONATA PIRES DE SOUSA</t>
  </si>
  <si>
    <t>JOÃO NETO</t>
  </si>
  <si>
    <t>PRESTADOR MOTORISTA</t>
  </si>
  <si>
    <t>63 99231-2921 / 63 99201-8431</t>
  </si>
  <si>
    <t>63 99259-0498 / 63 99224-8275</t>
  </si>
  <si>
    <t xml:space="preserve">ARMANDO LIMA DA CUNHA </t>
  </si>
  <si>
    <t>CELIO ALVES DE OLIVEIRA</t>
  </si>
  <si>
    <t>63 99262-4188</t>
  </si>
  <si>
    <t>63 99233-6252 / 63 99223-6024</t>
  </si>
  <si>
    <t>63 99266-1677 / 63 99107-2713</t>
  </si>
  <si>
    <t>63 99205-7269</t>
  </si>
  <si>
    <t>FAGNO PEREIRA ALMEIDA</t>
  </si>
  <si>
    <t>63 99214-2639 / 63 99226-4352</t>
  </si>
  <si>
    <t>63 99227-1555 / 63 99113-5022</t>
  </si>
  <si>
    <t>63 99291-3242 / 63 99248-9533</t>
  </si>
  <si>
    <t>63 99253-4723 / 63 99243-1267</t>
  </si>
  <si>
    <t>63 99218-8869</t>
  </si>
  <si>
    <t>63 99224-2759 / 63 99225-2846</t>
  </si>
  <si>
    <t>63 99285-2277</t>
  </si>
  <si>
    <t>63 99279-3717</t>
  </si>
  <si>
    <t>63 99278-1013</t>
  </si>
  <si>
    <t>63 99255-5515 / 63 9225-6536</t>
  </si>
  <si>
    <t>63 99231-4772 / 63 99101-0861</t>
  </si>
  <si>
    <t>63 98405-1092</t>
  </si>
  <si>
    <t>63 99247-4225 / 63 99122-4374 / 63 99263-9202</t>
  </si>
  <si>
    <t>63 99287-0496</t>
  </si>
  <si>
    <t>63 99232-0658 / 63 99108-3384</t>
  </si>
  <si>
    <t>63 99229-4379 / 63 99205-4687</t>
  </si>
  <si>
    <t>DISP</t>
  </si>
  <si>
    <t>PRESTADOR</t>
  </si>
  <si>
    <t>DISPONIBILIDADE</t>
  </si>
  <si>
    <t>FONE</t>
  </si>
  <si>
    <t>ARAGUAINA CENTRO</t>
  </si>
  <si>
    <t>ARAGUAINA MARACANÃ</t>
  </si>
  <si>
    <t>JOAO THALLISON MIRANDA DA SILV</t>
  </si>
  <si>
    <t>EDSON VELOSO MENDES</t>
  </si>
  <si>
    <t>TVA8I14</t>
  </si>
  <si>
    <t>TAQUARALTO</t>
  </si>
  <si>
    <t>THARCISIO ANDRADE DE ARAUJO</t>
  </si>
  <si>
    <t>TVA8I12</t>
  </si>
  <si>
    <t>MARCOS VINICIOS OLIVEIRA</t>
  </si>
  <si>
    <t>MAGNO GOMES DE SOUZA</t>
  </si>
  <si>
    <t>MARISON DA CRUZ LIMA SANTOS</t>
  </si>
  <si>
    <t>JEFERSON ALVES DA SILVA</t>
  </si>
  <si>
    <t>RAIMUNDO DA SILVA RIBEIRO</t>
  </si>
  <si>
    <t>ANOEL FILHO T. DOS SANTOS</t>
  </si>
  <si>
    <t>EDUARDO BORGES DE SOUSA</t>
  </si>
  <si>
    <t>WILLIAM MELQUIADES DE SANTANA</t>
  </si>
  <si>
    <t>RMC7H67</t>
  </si>
  <si>
    <t>RMC7H59</t>
  </si>
  <si>
    <t>RMC7H61</t>
  </si>
  <si>
    <t>MOTORISTA SOBREAVISO</t>
  </si>
  <si>
    <t>63 992383162</t>
  </si>
  <si>
    <t>63 992556425</t>
  </si>
  <si>
    <t>74 88583418</t>
  </si>
  <si>
    <t>63 992371546</t>
  </si>
  <si>
    <t>63 992552714</t>
  </si>
  <si>
    <t>RMC7H05</t>
  </si>
  <si>
    <t>63 992139890</t>
  </si>
  <si>
    <t>63 992162500</t>
  </si>
  <si>
    <t>RMC7H57</t>
  </si>
  <si>
    <t>GUSTAVO CARVALHO DA SILVA</t>
  </si>
  <si>
    <t>GENIVALDO RIBEIRO DOS SANTOS</t>
  </si>
  <si>
    <t>RMC7H72</t>
  </si>
  <si>
    <t>63 999644914</t>
  </si>
  <si>
    <t>63 992657142</t>
  </si>
  <si>
    <t>63 992982731</t>
  </si>
  <si>
    <t>JOSE PEREIRA DE SOUSA (Zezinho)</t>
  </si>
  <si>
    <t>KAUAN CLARINDO DE SOUSA SILVA</t>
  </si>
  <si>
    <t>63 992359522</t>
  </si>
  <si>
    <t>63 992441632</t>
  </si>
  <si>
    <t>MARCOS JOHN CHAVES DO NASCIMENTO</t>
  </si>
  <si>
    <t>PEDRO HENRIQUE MOURA CASTRO N.</t>
  </si>
  <si>
    <t>63 991050687</t>
  </si>
  <si>
    <t>63 992638781</t>
  </si>
  <si>
    <t>63 992340451</t>
  </si>
  <si>
    <t>JHONATAN SILVA DOS SANTOS</t>
  </si>
  <si>
    <t>63 992426408</t>
  </si>
  <si>
    <t>KAIO</t>
  </si>
  <si>
    <t>WALISON</t>
  </si>
  <si>
    <t>PARAISO</t>
  </si>
  <si>
    <t>VITOR RODRIGUES</t>
  </si>
  <si>
    <t>WAGNER JORGE DIAS DA SILVA</t>
  </si>
  <si>
    <t>TVA8I21</t>
  </si>
  <si>
    <t>UARLEI LUCIANO ROSA DA COSTA</t>
  </si>
  <si>
    <t>TVA8I18</t>
  </si>
  <si>
    <t>JOSE EDNEI</t>
  </si>
  <si>
    <t>TVA8I23</t>
  </si>
  <si>
    <t>WANDERSON ARAUJO SILVA</t>
  </si>
  <si>
    <t>RSB1H70</t>
  </si>
  <si>
    <t>QWE1B20</t>
  </si>
  <si>
    <t>Qt Entregas</t>
  </si>
  <si>
    <t>GUILHERME DE OLIVEIRA RAMALHO</t>
  </si>
  <si>
    <t>TVD0F56</t>
  </si>
  <si>
    <t>AJUDANTE SOBREAVISO</t>
  </si>
  <si>
    <t>WENNEM RUDEMBERG CASTRO DOS SANTOS</t>
  </si>
  <si>
    <t>REDE CAMPELO</t>
  </si>
  <si>
    <t>p</t>
  </si>
  <si>
    <t>OSEAN RODRIGUES SANTOS</t>
  </si>
  <si>
    <t>DIOGO COIMBRA DA SILVA</t>
  </si>
  <si>
    <t>NATAL DOS REIS</t>
  </si>
  <si>
    <t>EDUARDO MEDANHA DO SANTOS</t>
  </si>
  <si>
    <t>RENATO DOS REIS ALVES</t>
  </si>
  <si>
    <t>TVD1E68</t>
  </si>
  <si>
    <t>LUIZ MIGUEL DE REZENDE SANTOS</t>
  </si>
  <si>
    <t>RENIO / GENIVALDO</t>
  </si>
  <si>
    <t>MARISON / ALISON</t>
  </si>
  <si>
    <t>DIOGENES - RSE9G93</t>
  </si>
  <si>
    <t>ARMANDO - RSD6G99</t>
  </si>
  <si>
    <t>43155 / 43156</t>
  </si>
  <si>
    <t>43158 / 43159</t>
  </si>
  <si>
    <t>43160 / 43161</t>
  </si>
  <si>
    <t>43172 / 43173</t>
  </si>
  <si>
    <t>43174 / 43175</t>
  </si>
  <si>
    <t>43168 / 43169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</si>
</sst>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d/m/yyyy"/>
    <numFmt numFmtId="165" formatCode="_-[$R$-416]\ * #,##0.00_-;\-[$R$-416]\ * #,##0.00_-;_-[$R$-416]\ * &quot;-&quot;??_-;_-@_-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28"/>
      <color rgb="FF0070C0"/>
      <name val="Arial"/>
      <family val="2"/>
      <charset val="1"/>
    </font>
    <font>
      <b/>
      <sz val="24"/>
      <color theme="1"/>
      <name val="Aptos Narrow"/>
      <family val="2"/>
      <scheme val="minor"/>
    </font>
    <font>
      <b/>
      <sz val="16"/>
      <color rgb="FF000000"/>
      <name val="Arial"/>
      <family val="2"/>
      <charset val="1"/>
    </font>
    <font>
      <b/>
      <sz val="16"/>
      <name val="Comic Sans MS"/>
      <family val="4"/>
    </font>
    <font>
      <b/>
      <sz val="16"/>
      <name val="Arial"/>
      <family val="2"/>
      <charset val="1"/>
    </font>
    <font>
      <b/>
      <sz val="28"/>
      <color rgb="FFC00000"/>
      <name val="Arial"/>
      <family val="2"/>
      <charset val="1"/>
    </font>
    <font>
      <b/>
      <sz val="16"/>
      <color theme="0"/>
      <name val="Arial"/>
      <family val="2"/>
      <charset val="1"/>
    </font>
    <font>
      <sz val="11"/>
      <color theme="0"/>
      <name val="Aptos Narrow"/>
      <family val="2"/>
      <scheme val="minor"/>
    </font>
    <font>
      <sz val="10"/>
      <name val="Arial"/>
      <family val="2"/>
    </font>
    <font>
      <sz val="12"/>
      <name val="Arial Narrow"/>
      <family val="2"/>
    </font>
    <font>
      <sz val="10"/>
      <color theme="1"/>
      <name val="Calibri"/>
      <family val="2"/>
    </font>
    <font>
      <b/>
      <sz val="12"/>
      <color rgb="FF000000"/>
      <name val="Arial"/>
      <family val="2"/>
      <charset val="1"/>
    </font>
    <font>
      <b/>
      <sz val="10"/>
      <color theme="0"/>
      <name val="Calibri"/>
      <family val="2"/>
    </font>
    <font>
      <b/>
      <sz val="10"/>
      <color theme="1"/>
      <name val="Calibri"/>
      <family val="2"/>
    </font>
    <font>
      <b/>
      <sz val="16"/>
      <color theme="0" tint="-4.9989318521683403E-2"/>
      <name val="Arial"/>
      <family val="2"/>
      <charset val="1"/>
    </font>
    <font>
      <b/>
      <sz val="16"/>
      <color theme="0" tint="-4.9989318521683403E-2"/>
      <name val="Comic Sans MS"/>
      <family val="4"/>
    </font>
    <font>
      <b/>
      <sz val="28"/>
      <color theme="3" tint="0.249977111117893"/>
      <name val="Arial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theme="0"/>
        <bgColor rgb="FFF2F2F2"/>
      </patternFill>
    </fill>
    <fill>
      <patternFill patternType="solid">
        <fgColor theme="9" tint="0.59999389629810485"/>
        <bgColor rgb="FFDDD9C3"/>
      </patternFill>
    </fill>
    <fill>
      <patternFill patternType="solid">
        <fgColor theme="0" tint="-4.9989318521683403E-2"/>
        <bgColor rgb="FFDDD9C3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rgb="FFDDD9C3"/>
      </patternFill>
    </fill>
    <fill>
      <patternFill patternType="solid">
        <fgColor rgb="FFFFFF00"/>
        <bgColor rgb="FFDDD9C3"/>
      </patternFill>
    </fill>
    <fill>
      <patternFill patternType="solid">
        <fgColor theme="9" tint="-0.499984740745262"/>
        <bgColor rgb="FFDDD9C3"/>
      </patternFill>
    </fill>
    <fill>
      <patternFill patternType="solid">
        <fgColor theme="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-0.499984740745262"/>
        <bgColor rgb="FFDDD9C3"/>
      </patternFill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medium">
        <color theme="1" tint="0.499984740745262"/>
      </left>
      <right style="medium">
        <color theme="1" tint="0.499984740745262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/>
  </cellStyleXfs>
  <cellXfs count="86">
    <xf numFmtId="0" fontId="0" fillId="0" borderId="0" xfId="0"/>
    <xf numFmtId="0" fontId="3" fillId="0" borderId="0" xfId="0" applyFont="1"/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3" fillId="5" borderId="0" xfId="0" applyFont="1" applyFill="1"/>
    <xf numFmtId="0" fontId="4" fillId="4" borderId="10" xfId="0" applyFont="1" applyFill="1" applyBorder="1" applyAlignment="1">
      <alignment horizontal="center" vertical="center"/>
    </xf>
    <xf numFmtId="43" fontId="4" fillId="4" borderId="10" xfId="0" applyNumberFormat="1" applyFont="1" applyFill="1" applyBorder="1" applyAlignment="1">
      <alignment horizontal="center" vertical="center"/>
    </xf>
    <xf numFmtId="44" fontId="4" fillId="4" borderId="10" xfId="0" applyNumberFormat="1" applyFont="1" applyFill="1" applyBorder="1" applyAlignment="1">
      <alignment horizontal="center" vertical="center"/>
    </xf>
    <xf numFmtId="0" fontId="4" fillId="3" borderId="11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49" fontId="5" fillId="3" borderId="12" xfId="0" applyNumberFormat="1" applyFont="1" applyFill="1" applyBorder="1" applyAlignment="1">
      <alignment horizontal="center" vertical="center"/>
    </xf>
    <xf numFmtId="43" fontId="4" fillId="3" borderId="12" xfId="1" applyFont="1" applyFill="1" applyBorder="1" applyAlignment="1">
      <alignment horizontal="center" vertical="center"/>
    </xf>
    <xf numFmtId="44" fontId="4" fillId="3" borderId="12" xfId="1" applyNumberFormat="1" applyFont="1" applyFill="1" applyBorder="1" applyAlignment="1">
      <alignment horizontal="center" vertical="center"/>
    </xf>
    <xf numFmtId="0" fontId="6" fillId="3" borderId="13" xfId="0" applyFont="1" applyFill="1" applyBorder="1" applyAlignment="1">
      <alignment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6" borderId="14" xfId="0" applyFont="1" applyFill="1" applyBorder="1" applyAlignment="1">
      <alignment horizontal="center" vertical="center"/>
    </xf>
    <xf numFmtId="0" fontId="4" fillId="6" borderId="15" xfId="0" applyFont="1" applyFill="1" applyBorder="1" applyAlignment="1">
      <alignment horizontal="center" vertical="center"/>
    </xf>
    <xf numFmtId="49" fontId="5" fillId="6" borderId="14" xfId="0" applyNumberFormat="1" applyFont="1" applyFill="1" applyBorder="1" applyAlignment="1">
      <alignment horizontal="center" vertical="center"/>
    </xf>
    <xf numFmtId="0" fontId="6" fillId="6" borderId="16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12" xfId="0" applyFont="1" applyFill="1" applyBorder="1" applyAlignment="1">
      <alignment horizontal="center" vertical="center"/>
    </xf>
    <xf numFmtId="49" fontId="5" fillId="6" borderId="12" xfId="0" applyNumberFormat="1" applyFont="1" applyFill="1" applyBorder="1" applyAlignment="1">
      <alignment horizontal="center" vertical="center"/>
    </xf>
    <xf numFmtId="43" fontId="4" fillId="6" borderId="12" xfId="1" applyFont="1" applyFill="1" applyBorder="1" applyAlignment="1">
      <alignment horizontal="center" vertical="center"/>
    </xf>
    <xf numFmtId="0" fontId="6" fillId="6" borderId="13" xfId="0" applyFont="1" applyFill="1" applyBorder="1" applyAlignment="1">
      <alignment vertical="center" wrapText="1"/>
    </xf>
    <xf numFmtId="0" fontId="8" fillId="8" borderId="5" xfId="0" applyFont="1" applyFill="1" applyBorder="1" applyAlignment="1">
      <alignment horizontal="center" vertical="center"/>
    </xf>
    <xf numFmtId="0" fontId="12" fillId="0" borderId="18" xfId="0" applyFont="1" applyBorder="1" applyAlignment="1">
      <alignment horizontal="left" vertical="center"/>
    </xf>
    <xf numFmtId="0" fontId="9" fillId="9" borderId="0" xfId="0" applyFont="1" applyFill="1"/>
    <xf numFmtId="0" fontId="11" fillId="10" borderId="17" xfId="2" applyFont="1" applyFill="1" applyBorder="1" applyAlignment="1">
      <alignment horizontal="left" vertical="center" wrapText="1"/>
    </xf>
    <xf numFmtId="0" fontId="11" fillId="10" borderId="9" xfId="2" applyFont="1" applyFill="1" applyBorder="1" applyAlignment="1">
      <alignment horizontal="left" vertical="center" wrapText="1"/>
    </xf>
    <xf numFmtId="0" fontId="11" fillId="10" borderId="11" xfId="2" applyFont="1" applyFill="1" applyBorder="1" applyAlignment="1">
      <alignment horizontal="left" vertical="center" wrapText="1"/>
    </xf>
    <xf numFmtId="0" fontId="13" fillId="4" borderId="10" xfId="0" applyFont="1" applyFill="1" applyBorder="1" applyAlignment="1">
      <alignment horizontal="center" vertical="center"/>
    </xf>
    <xf numFmtId="0" fontId="13" fillId="4" borderId="8" xfId="0" applyFont="1" applyFill="1" applyBorder="1" applyAlignment="1">
      <alignment horizontal="center" vertical="center"/>
    </xf>
    <xf numFmtId="43" fontId="13" fillId="4" borderId="10" xfId="0" applyNumberFormat="1" applyFont="1" applyFill="1" applyBorder="1" applyAlignment="1">
      <alignment horizontal="center" vertical="center"/>
    </xf>
    <xf numFmtId="44" fontId="13" fillId="4" borderId="10" xfId="0" applyNumberFormat="1" applyFont="1" applyFill="1" applyBorder="1" applyAlignment="1">
      <alignment horizontal="center" vertical="center"/>
    </xf>
    <xf numFmtId="0" fontId="13" fillId="4" borderId="10" xfId="0" applyFont="1" applyFill="1" applyBorder="1" applyAlignment="1">
      <alignment vertical="center"/>
    </xf>
    <xf numFmtId="0" fontId="14" fillId="11" borderId="18" xfId="0" applyFont="1" applyFill="1" applyBorder="1" applyAlignment="1">
      <alignment horizontal="center" vertical="center"/>
    </xf>
    <xf numFmtId="0" fontId="15" fillId="0" borderId="18" xfId="0" applyFont="1" applyBorder="1" applyAlignment="1">
      <alignment horizontal="center" vertical="center"/>
    </xf>
    <xf numFmtId="0" fontId="15" fillId="0" borderId="18" xfId="0" applyFont="1" applyBorder="1" applyAlignment="1">
      <alignment horizontal="left" vertical="center"/>
    </xf>
    <xf numFmtId="0" fontId="12" fillId="0" borderId="18" xfId="0" applyFont="1" applyBorder="1" applyAlignment="1">
      <alignment horizontal="center" vertical="center"/>
    </xf>
    <xf numFmtId="0" fontId="0" fillId="0" borderId="18" xfId="0" applyBorder="1"/>
    <xf numFmtId="0" fontId="12" fillId="0" borderId="19" xfId="0" applyFont="1" applyBorder="1" applyAlignment="1">
      <alignment horizontal="center" vertical="center"/>
    </xf>
    <xf numFmtId="0" fontId="12" fillId="0" borderId="20" xfId="0" applyFont="1" applyBorder="1" applyAlignment="1">
      <alignment horizontal="center" vertical="center"/>
    </xf>
    <xf numFmtId="0" fontId="0" fillId="0" borderId="21" xfId="0" applyBorder="1"/>
    <xf numFmtId="0" fontId="12" fillId="0" borderId="21" xfId="0" applyFont="1" applyBorder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12" borderId="18" xfId="0" applyFont="1" applyFill="1" applyBorder="1" applyAlignment="1">
      <alignment horizontal="center" vertical="center"/>
    </xf>
    <xf numFmtId="0" fontId="15" fillId="12" borderId="22" xfId="0" applyFont="1" applyFill="1" applyBorder="1" applyAlignment="1">
      <alignment horizontal="left" vertical="center"/>
    </xf>
    <xf numFmtId="0" fontId="15" fillId="0" borderId="19" xfId="0" applyFont="1" applyBorder="1" applyAlignment="1">
      <alignment horizontal="center" vertical="center"/>
    </xf>
    <xf numFmtId="0" fontId="15" fillId="0" borderId="21" xfId="0" applyFont="1" applyBorder="1" applyAlignment="1">
      <alignment horizontal="center" vertical="center"/>
    </xf>
    <xf numFmtId="43" fontId="4" fillId="4" borderId="10" xfId="0" applyNumberFormat="1" applyFont="1" applyFill="1" applyBorder="1" applyAlignment="1">
      <alignment vertical="center"/>
    </xf>
    <xf numFmtId="49" fontId="17" fillId="13" borderId="10" xfId="0" applyNumberFormat="1" applyFont="1" applyFill="1" applyBorder="1" applyAlignment="1">
      <alignment horizontal="center" vertical="center"/>
    </xf>
    <xf numFmtId="0" fontId="16" fillId="13" borderId="10" xfId="0" applyFont="1" applyFill="1" applyBorder="1" applyAlignment="1">
      <alignment vertical="center"/>
    </xf>
    <xf numFmtId="0" fontId="13" fillId="4" borderId="23" xfId="0" applyFont="1" applyFill="1" applyBorder="1" applyAlignment="1">
      <alignment horizontal="center" vertical="center"/>
    </xf>
    <xf numFmtId="0" fontId="4" fillId="3" borderId="28" xfId="0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1" fontId="4" fillId="3" borderId="29" xfId="1" applyNumberFormat="1" applyFont="1" applyFill="1" applyBorder="1" applyAlignment="1">
      <alignment horizontal="center" vertical="center"/>
    </xf>
    <xf numFmtId="0" fontId="13" fillId="7" borderId="27" xfId="0" applyFont="1" applyFill="1" applyBorder="1" applyAlignment="1">
      <alignment horizontal="center" vertical="center"/>
    </xf>
    <xf numFmtId="0" fontId="4" fillId="7" borderId="31" xfId="0" applyFont="1" applyFill="1" applyBorder="1" applyAlignment="1">
      <alignment horizontal="center" vertical="center"/>
    </xf>
    <xf numFmtId="43" fontId="4" fillId="7" borderId="31" xfId="1" applyFont="1" applyFill="1" applyBorder="1" applyAlignment="1">
      <alignment horizontal="center" vertical="center"/>
    </xf>
    <xf numFmtId="0" fontId="6" fillId="7" borderId="31" xfId="0" applyFont="1" applyFill="1" applyBorder="1" applyAlignment="1">
      <alignment vertical="center" wrapText="1"/>
    </xf>
    <xf numFmtId="0" fontId="13" fillId="4" borderId="32" xfId="0" applyFont="1" applyFill="1" applyBorder="1" applyAlignment="1">
      <alignment vertical="center"/>
    </xf>
    <xf numFmtId="165" fontId="4" fillId="6" borderId="12" xfId="1" applyNumberFormat="1" applyFont="1" applyFill="1" applyBorder="1" applyAlignment="1">
      <alignment horizontal="center" vertical="center"/>
    </xf>
    <xf numFmtId="0" fontId="4" fillId="6" borderId="12" xfId="1" applyNumberFormat="1" applyFont="1" applyFill="1" applyBorder="1" applyAlignment="1">
      <alignment horizontal="center" vertical="center"/>
    </xf>
    <xf numFmtId="165" fontId="4" fillId="7" borderId="31" xfId="1" applyNumberFormat="1" applyFont="1" applyFill="1" applyBorder="1" applyAlignment="1">
      <alignment horizontal="center" vertical="center"/>
    </xf>
    <xf numFmtId="0" fontId="4" fillId="7" borderId="31" xfId="1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164" fontId="2" fillId="2" borderId="2" xfId="0" applyNumberFormat="1" applyFont="1" applyFill="1" applyBorder="1" applyAlignment="1" applyProtection="1">
      <alignment horizontal="center" vertical="center"/>
      <protection locked="0"/>
    </xf>
    <xf numFmtId="164" fontId="2" fillId="2" borderId="3" xfId="0" applyNumberFormat="1" applyFont="1" applyFill="1" applyBorder="1" applyAlignment="1" applyProtection="1">
      <alignment horizontal="center" vertical="center"/>
      <protection locked="0"/>
    </xf>
    <xf numFmtId="164" fontId="18" fillId="2" borderId="1" xfId="0" applyNumberFormat="1" applyFont="1" applyFill="1" applyBorder="1" applyAlignment="1" applyProtection="1">
      <alignment horizontal="center" vertical="center"/>
      <protection locked="0"/>
    </xf>
    <xf numFmtId="164" fontId="18" fillId="2" borderId="2" xfId="0" applyNumberFormat="1" applyFont="1" applyFill="1" applyBorder="1" applyAlignment="1" applyProtection="1">
      <alignment horizontal="center" vertical="center"/>
      <protection locked="0"/>
    </xf>
    <xf numFmtId="164" fontId="18" fillId="2" borderId="3" xfId="0" applyNumberFormat="1" applyFont="1" applyFill="1" applyBorder="1" applyAlignment="1" applyProtection="1">
      <alignment horizontal="center" vertical="center"/>
      <protection locked="0"/>
    </xf>
    <xf numFmtId="0" fontId="4" fillId="7" borderId="1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4" fillId="7" borderId="3" xfId="0" applyFont="1" applyFill="1" applyBorder="1" applyAlignment="1">
      <alignment horizontal="center" vertical="center"/>
    </xf>
    <xf numFmtId="0" fontId="13" fillId="7" borderId="10" xfId="0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 applyProtection="1">
      <alignment horizontal="center" vertical="center"/>
      <protection locked="0"/>
    </xf>
    <xf numFmtId="164" fontId="7" fillId="2" borderId="2" xfId="0" applyNumberFormat="1" applyFont="1" applyFill="1" applyBorder="1" applyAlignment="1" applyProtection="1">
      <alignment horizontal="center" vertical="center"/>
      <protection locked="0"/>
    </xf>
    <xf numFmtId="0" fontId="16" fillId="13" borderId="10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4D172873-C515-467F-BEAD-20AE52EF5746}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121583</xdr:rowOff>
    </xdr:from>
    <xdr:to>
      <xdr:col>2</xdr:col>
      <xdr:colOff>661307</xdr:colOff>
      <xdr:row>1</xdr:row>
      <xdr:rowOff>669386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2D0AE454-8E13-4C1A-A714-FE43E14AD2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0525" y="283508"/>
          <a:ext cx="962025" cy="547803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  <xdr:twoCellAnchor editAs="oneCell">
    <xdr:from>
      <xdr:col>1</xdr:col>
      <xdr:colOff>209550</xdr:colOff>
      <xdr:row>16</xdr:row>
      <xdr:rowOff>59391</xdr:rowOff>
    </xdr:from>
    <xdr:to>
      <xdr:col>2</xdr:col>
      <xdr:colOff>375557</xdr:colOff>
      <xdr:row>16</xdr:row>
      <xdr:rowOff>516346</xdr:rowOff>
    </xdr:to>
    <xdr:pic>
      <xdr:nvPicPr>
        <xdr:cNvPr id="3" name="Imagem 2" descr="Logotipo&#10;&#10;Descrição gerada automaticamente">
          <a:extLst>
            <a:ext uri="{FF2B5EF4-FFF2-40B4-BE49-F238E27FC236}">
              <a16:creationId xmlns:a16="http://schemas.microsoft.com/office/drawing/2014/main" id="{131298DA-D848-4156-BF51-1E5C99943C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38150" y="9155766"/>
          <a:ext cx="628650" cy="456955"/>
        </a:xfrm>
        <a:prstGeom prst="ellipse">
          <a:avLst/>
        </a:prstGeom>
        <a:ln w="63500" cap="rnd">
          <a:noFill/>
        </a:ln>
        <a:effectLst>
          <a:outerShdw blurRad="381000" dist="292100" dir="5400000" sx="-80000" sy="-18000" rotWithShape="0">
            <a:srgbClr val="000000">
              <a:alpha val="22000"/>
            </a:srgbClr>
          </a:outerShdw>
        </a:effectLst>
        <a:scene3d>
          <a:camera prst="orthographicFront"/>
          <a:lightRig rig="contrasting" dir="t">
            <a:rot lat="0" lon="0" rev="3000000"/>
          </a:lightRig>
        </a:scene3d>
        <a:sp3d contourW="7620">
          <a:bevelT w="95250" h="31750"/>
          <a:contourClr>
            <a:srgbClr val="333333"/>
          </a:contourClr>
        </a:sp3d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70A2-6CA2-4EDD-9313-D8596FA9B7C0}">
  <sheetPr>
    <pageSetUpPr fitToPage="1"/>
  </sheetPr>
  <dimension ref="A1:K30"/>
  <sheetViews>
    <sheetView tabSelected="1" topLeftCell="A2" zoomScale="80" zoomScaleNormal="80" workbookViewId="0">
      <selection activeCell="D8" sqref="D8"/>
    </sheetView>
  </sheetViews>
  <sheetFormatPr defaultColWidth="9.140625" defaultRowHeight="31.5" x14ac:dyDescent="0.5"/>
  <cols>
    <col min="1" max="1" width="3.42578125" style="1" customWidth="1"/>
    <col min="2" max="2" width="6.7109375" style="1" bestFit="1" customWidth="1"/>
    <col min="3" max="3" width="21.85546875" customWidth="1"/>
    <col min="4" max="4" width="30.7109375" style="17" bestFit="1" customWidth="1"/>
    <col min="5" max="5" width="12" style="17" bestFit="1" customWidth="1"/>
    <col min="6" max="6" width="55.28515625" style="17" bestFit="1" customWidth="1"/>
    <col min="7" max="7" width="48.5703125" style="17" bestFit="1" customWidth="1"/>
    <col min="8" max="8" width="17.140625" style="1" hidden="1" customWidth="1"/>
    <col min="9" max="9" width="23.85546875" style="1" hidden="1" customWidth="1"/>
    <col min="10" max="10" width="19.5703125" style="1" hidden="1" customWidth="1"/>
    <col min="11" max="11" width="28.85546875" style="18" bestFit="1" customWidth="1"/>
    <col min="12" max="12" width="2.28515625" style="1" customWidth="1"/>
    <col min="13" max="16384" width="9.140625" style="1"/>
  </cols>
  <sheetData>
    <row r="1" spans="2:11" ht="12.75" customHeight="1" thickBot="1" x14ac:dyDescent="0.55000000000000004">
      <c r="C1" s="1"/>
    </row>
    <row r="2" spans="2:11" ht="57" customHeight="1" thickBot="1" x14ac:dyDescent="0.55000000000000004">
      <c r="B2" s="70" t="s">
        <v>0</v>
      </c>
      <c r="C2" s="71"/>
      <c r="D2" s="71"/>
      <c r="E2" s="71"/>
      <c r="F2" s="71"/>
      <c r="G2" s="71"/>
      <c r="H2" s="71"/>
      <c r="I2" s="71"/>
      <c r="J2" s="71"/>
      <c r="K2" s="72"/>
    </row>
    <row r="3" spans="2:11" ht="32.25" thickBot="1" x14ac:dyDescent="0.55000000000000004">
      <c r="B3" s="2" t="s">
        <v>1</v>
      </c>
      <c r="C3" s="3" t="s">
        <v>2</v>
      </c>
      <c r="D3" s="4" t="s">
        <v>3</v>
      </c>
      <c r="E3" s="3" t="s">
        <v>4</v>
      </c>
      <c r="F3" s="29" t="s">
        <v>5</v>
      </c>
      <c r="G3" s="29" t="s">
        <v>6</v>
      </c>
      <c r="H3" s="3" t="s">
        <v>7</v>
      </c>
      <c r="I3" s="3" t="s">
        <v>8</v>
      </c>
      <c r="J3" s="58" t="s">
        <v>260</v>
      </c>
      <c r="K3" s="5" t="s">
        <v>9</v>
      </c>
    </row>
    <row r="4" spans="2:11" s="7" customFormat="1" ht="32.25" thickBot="1" x14ac:dyDescent="0.55000000000000004">
      <c r="B4" s="36">
        <v>1</v>
      </c>
      <c r="C4" s="35" t="s">
        <v>278</v>
      </c>
      <c r="D4" s="35" t="s">
        <v>124</v>
      </c>
      <c r="E4" s="35" t="s">
        <v>205</v>
      </c>
      <c r="F4" s="35" t="s">
        <v>48</v>
      </c>
      <c r="G4" s="35" t="s">
        <v>269</v>
      </c>
      <c r="H4" s="37">
        <v>4338.12</v>
      </c>
      <c r="I4" s="38">
        <v>77511.320000000007</v>
      </c>
      <c r="J4" s="35">
        <v>62</v>
      </c>
      <c r="K4" s="39"/>
    </row>
    <row r="5" spans="2:11" s="7" customFormat="1" ht="32.25" thickBot="1" x14ac:dyDescent="0.55000000000000004">
      <c r="B5" s="36">
        <v>2</v>
      </c>
      <c r="C5" s="35" t="s">
        <v>279</v>
      </c>
      <c r="D5" s="35" t="s">
        <v>95</v>
      </c>
      <c r="E5" s="35" t="s">
        <v>28</v>
      </c>
      <c r="F5" s="35" t="s">
        <v>204</v>
      </c>
      <c r="G5" s="35" t="s">
        <v>275</v>
      </c>
      <c r="H5" s="37">
        <v>4181.3100000000004</v>
      </c>
      <c r="I5" s="38">
        <v>59322.27</v>
      </c>
      <c r="J5" s="35">
        <v>25</v>
      </c>
      <c r="K5" s="79" t="s">
        <v>276</v>
      </c>
    </row>
    <row r="6" spans="2:11" s="7" customFormat="1" ht="32.25" thickBot="1" x14ac:dyDescent="0.55000000000000004">
      <c r="B6" s="36">
        <v>3</v>
      </c>
      <c r="C6" s="35" t="s">
        <v>280</v>
      </c>
      <c r="D6" s="35" t="s">
        <v>96</v>
      </c>
      <c r="E6" s="35" t="s">
        <v>16</v>
      </c>
      <c r="F6" s="35" t="s">
        <v>267</v>
      </c>
      <c r="G6" s="35" t="s">
        <v>273</v>
      </c>
      <c r="H6" s="37">
        <v>3749.42</v>
      </c>
      <c r="I6" s="38">
        <v>61006.9</v>
      </c>
      <c r="J6" s="35">
        <v>20</v>
      </c>
      <c r="K6" s="79"/>
    </row>
    <row r="7" spans="2:11" s="7" customFormat="1" ht="32.25" thickBot="1" x14ac:dyDescent="0.55000000000000004">
      <c r="B7" s="36">
        <v>4</v>
      </c>
      <c r="C7" s="35">
        <v>43164</v>
      </c>
      <c r="D7" s="35" t="s">
        <v>206</v>
      </c>
      <c r="E7" s="35" t="s">
        <v>20</v>
      </c>
      <c r="F7" s="35" t="s">
        <v>268</v>
      </c>
      <c r="G7" s="35" t="s">
        <v>216</v>
      </c>
      <c r="H7" s="37">
        <v>2361.08</v>
      </c>
      <c r="I7" s="38">
        <v>36078.74</v>
      </c>
      <c r="J7" s="35">
        <v>22</v>
      </c>
      <c r="K7" s="79"/>
    </row>
    <row r="8" spans="2:11" s="7" customFormat="1" ht="32.25" thickBot="1" x14ac:dyDescent="0.55000000000000004">
      <c r="B8" s="36">
        <v>5</v>
      </c>
      <c r="C8" s="35">
        <v>43162</v>
      </c>
      <c r="D8" s="35" t="s">
        <v>92</v>
      </c>
      <c r="E8" s="35" t="s">
        <v>19</v>
      </c>
      <c r="F8" s="35" t="s">
        <v>264</v>
      </c>
      <c r="G8" s="35" t="s">
        <v>261</v>
      </c>
      <c r="H8" s="37">
        <v>948.22</v>
      </c>
      <c r="I8" s="38">
        <v>17300.52</v>
      </c>
      <c r="J8" s="35">
        <v>25</v>
      </c>
      <c r="K8" s="79"/>
    </row>
    <row r="9" spans="2:11" s="7" customFormat="1" ht="32.25" thickBot="1" x14ac:dyDescent="0.55000000000000004">
      <c r="B9" s="36">
        <v>6</v>
      </c>
      <c r="C9" s="35">
        <v>43163</v>
      </c>
      <c r="D9" s="35" t="s">
        <v>99</v>
      </c>
      <c r="E9" s="35" t="s">
        <v>75</v>
      </c>
      <c r="F9" s="35" t="s">
        <v>55</v>
      </c>
      <c r="G9" s="35" t="s">
        <v>212</v>
      </c>
      <c r="H9" s="37">
        <v>10991.01</v>
      </c>
      <c r="I9" s="38">
        <v>141015.51999999999</v>
      </c>
      <c r="J9" s="35">
        <v>20</v>
      </c>
      <c r="K9" s="61" t="s">
        <v>277</v>
      </c>
    </row>
    <row r="10" spans="2:11" s="7" customFormat="1" ht="32.25" thickBot="1" x14ac:dyDescent="0.55000000000000004">
      <c r="B10" s="36">
        <v>7</v>
      </c>
      <c r="C10" s="35" t="s">
        <v>281</v>
      </c>
      <c r="D10" s="35" t="s">
        <v>104</v>
      </c>
      <c r="E10" s="35" t="s">
        <v>18</v>
      </c>
      <c r="F10" s="35" t="s">
        <v>56</v>
      </c>
      <c r="G10" s="35" t="s">
        <v>271</v>
      </c>
      <c r="H10" s="37">
        <v>9591.17</v>
      </c>
      <c r="I10" s="38">
        <v>160686.22</v>
      </c>
      <c r="J10" s="35">
        <v>72</v>
      </c>
      <c r="K10" s="39"/>
    </row>
    <row r="11" spans="2:11" s="7" customFormat="1" ht="32.25" thickBot="1" x14ac:dyDescent="0.55000000000000004">
      <c r="B11" s="36">
        <v>8</v>
      </c>
      <c r="C11" s="35" t="s">
        <v>282</v>
      </c>
      <c r="D11" s="35" t="s">
        <v>105</v>
      </c>
      <c r="E11" s="35" t="s">
        <v>208</v>
      </c>
      <c r="F11" s="35" t="s">
        <v>131</v>
      </c>
      <c r="G11" s="35" t="s">
        <v>61</v>
      </c>
      <c r="H11" s="37">
        <v>6022.45</v>
      </c>
      <c r="I11" s="38">
        <v>104943.25</v>
      </c>
      <c r="J11" s="35">
        <v>62</v>
      </c>
      <c r="K11" s="39"/>
    </row>
    <row r="12" spans="2:11" s="7" customFormat="1" ht="32.25" thickBot="1" x14ac:dyDescent="0.55000000000000004">
      <c r="B12" s="36">
        <v>9</v>
      </c>
      <c r="C12" s="35">
        <v>43170</v>
      </c>
      <c r="D12" s="35" t="s">
        <v>201</v>
      </c>
      <c r="E12" s="35" t="s">
        <v>262</v>
      </c>
      <c r="F12" s="35" t="s">
        <v>47</v>
      </c>
      <c r="G12" s="35" t="s">
        <v>237</v>
      </c>
      <c r="H12" s="37">
        <v>4065.64</v>
      </c>
      <c r="I12" s="38">
        <v>73026.820000000007</v>
      </c>
      <c r="J12" s="35">
        <v>28</v>
      </c>
      <c r="K12" s="35"/>
    </row>
    <row r="13" spans="2:11" s="7" customFormat="1" ht="32.25" thickBot="1" x14ac:dyDescent="0.55000000000000004">
      <c r="B13" s="36">
        <v>10</v>
      </c>
      <c r="C13" s="35" t="s">
        <v>283</v>
      </c>
      <c r="D13" s="35" t="s">
        <v>202</v>
      </c>
      <c r="E13" s="35" t="s">
        <v>76</v>
      </c>
      <c r="F13" s="57" t="s">
        <v>44</v>
      </c>
      <c r="G13" s="35" t="s">
        <v>86</v>
      </c>
      <c r="H13" s="37">
        <v>2769.69</v>
      </c>
      <c r="I13" s="38">
        <v>42692.81</v>
      </c>
      <c r="J13" s="35">
        <v>35</v>
      </c>
      <c r="K13" s="39"/>
    </row>
    <row r="14" spans="2:11" s="7" customFormat="1" x14ac:dyDescent="0.5">
      <c r="B14" s="36">
        <v>11</v>
      </c>
      <c r="C14" s="35">
        <v>43167</v>
      </c>
      <c r="D14" s="35" t="s">
        <v>265</v>
      </c>
      <c r="E14" s="35" t="s">
        <v>272</v>
      </c>
      <c r="F14" s="57" t="s">
        <v>57</v>
      </c>
      <c r="G14" s="35" t="s">
        <v>274</v>
      </c>
      <c r="H14" s="37">
        <v>1599.59</v>
      </c>
      <c r="I14" s="38">
        <v>40682.620000000003</v>
      </c>
      <c r="J14" s="35">
        <v>5</v>
      </c>
      <c r="K14" s="35"/>
    </row>
    <row r="15" spans="2:11" s="7" customFormat="1" ht="32.25" thickBot="1" x14ac:dyDescent="0.55000000000000004">
      <c r="B15" s="11"/>
      <c r="C15" s="12"/>
      <c r="D15" s="12"/>
      <c r="E15" s="13"/>
      <c r="F15" s="12"/>
      <c r="G15" s="12"/>
      <c r="H15" s="14">
        <f>SUM(H4:H14)</f>
        <v>50617.7</v>
      </c>
      <c r="I15" s="15">
        <f>SUM(I4:I14)</f>
        <v>814266.99000000011</v>
      </c>
      <c r="J15" s="60">
        <f>SUM(J4:J14)</f>
        <v>376</v>
      </c>
      <c r="K15" s="16"/>
    </row>
    <row r="16" spans="2:11" ht="32.25" thickBot="1" x14ac:dyDescent="0.55000000000000004">
      <c r="C16" s="1"/>
    </row>
    <row r="17" spans="1:11" ht="49.5" customHeight="1" thickBot="1" x14ac:dyDescent="0.55000000000000004">
      <c r="B17" s="73" t="s">
        <v>10</v>
      </c>
      <c r="C17" s="74"/>
      <c r="D17" s="74"/>
      <c r="E17" s="74"/>
      <c r="F17" s="74"/>
      <c r="G17" s="74"/>
      <c r="H17" s="74"/>
      <c r="I17" s="74"/>
      <c r="J17" s="74"/>
      <c r="K17" s="75"/>
    </row>
    <row r="18" spans="1:11" s="7" customFormat="1" ht="32.25" thickBot="1" x14ac:dyDescent="0.55000000000000004">
      <c r="B18" s="19" t="s">
        <v>1</v>
      </c>
      <c r="C18" s="20" t="s">
        <v>2</v>
      </c>
      <c r="D18" s="21" t="s">
        <v>3</v>
      </c>
      <c r="E18" s="22" t="s">
        <v>4</v>
      </c>
      <c r="F18" s="20" t="s">
        <v>5</v>
      </c>
      <c r="G18" s="20" t="s">
        <v>6</v>
      </c>
      <c r="H18" s="20" t="s">
        <v>7</v>
      </c>
      <c r="I18" s="20" t="s">
        <v>8</v>
      </c>
      <c r="J18" s="59"/>
      <c r="K18" s="23" t="s">
        <v>9</v>
      </c>
    </row>
    <row r="19" spans="1:11" s="7" customFormat="1" x14ac:dyDescent="0.5">
      <c r="B19" s="6">
        <v>1</v>
      </c>
      <c r="C19" s="8">
        <v>43165</v>
      </c>
      <c r="D19" s="35" t="s">
        <v>129</v>
      </c>
      <c r="E19" s="35" t="s">
        <v>74</v>
      </c>
      <c r="F19" s="57" t="s">
        <v>43</v>
      </c>
      <c r="G19" s="35" t="s">
        <v>270</v>
      </c>
      <c r="H19" s="9">
        <v>1975.64</v>
      </c>
      <c r="I19" s="10">
        <v>15351.82</v>
      </c>
      <c r="J19" s="8">
        <v>23</v>
      </c>
      <c r="K19" s="65"/>
    </row>
    <row r="20" spans="1:11" ht="32.25" thickBot="1" x14ac:dyDescent="0.55000000000000004">
      <c r="B20" s="24"/>
      <c r="C20" s="25"/>
      <c r="D20" s="25"/>
      <c r="E20" s="26"/>
      <c r="F20" s="25"/>
      <c r="G20" s="25"/>
      <c r="H20" s="27">
        <f>SUM(H19:H19)</f>
        <v>1975.64</v>
      </c>
      <c r="I20" s="66">
        <f t="shared" ref="I20:J20" si="0">SUM(I19:I19)</f>
        <v>15351.82</v>
      </c>
      <c r="J20" s="67">
        <f t="shared" si="0"/>
        <v>23</v>
      </c>
      <c r="K20" s="28"/>
    </row>
    <row r="21" spans="1:11" ht="32.25" thickBot="1" x14ac:dyDescent="0.55000000000000004">
      <c r="C21" s="1"/>
    </row>
    <row r="22" spans="1:11" ht="32.25" thickBot="1" x14ac:dyDescent="0.55000000000000004">
      <c r="B22" s="76" t="s">
        <v>11</v>
      </c>
      <c r="C22" s="77"/>
      <c r="D22" s="77"/>
      <c r="E22" s="77"/>
      <c r="F22" s="78"/>
      <c r="G22" s="62"/>
      <c r="H22" s="63">
        <f>H20+H15</f>
        <v>52593.34</v>
      </c>
      <c r="I22" s="68">
        <f t="shared" ref="I22:J22" si="1">I20+I15</f>
        <v>829618.81</v>
      </c>
      <c r="J22" s="69">
        <f t="shared" si="1"/>
        <v>399</v>
      </c>
      <c r="K22" s="64"/>
    </row>
    <row r="24" spans="1:11" ht="36" hidden="1" thickBot="1" x14ac:dyDescent="0.55000000000000004">
      <c r="A24" s="1" t="s">
        <v>266</v>
      </c>
      <c r="B24" s="80" t="s">
        <v>220</v>
      </c>
      <c r="C24" s="81"/>
      <c r="D24" s="81"/>
      <c r="E24" s="81"/>
      <c r="F24" s="81"/>
      <c r="G24" s="81"/>
      <c r="H24" s="81"/>
      <c r="I24" s="81"/>
      <c r="J24" s="81"/>
      <c r="K24" s="81"/>
    </row>
    <row r="25" spans="1:11" hidden="1" x14ac:dyDescent="0.5">
      <c r="B25" s="82" t="s">
        <v>198</v>
      </c>
      <c r="C25" s="82"/>
      <c r="D25" s="82"/>
      <c r="E25" s="82"/>
      <c r="F25" s="82"/>
      <c r="G25" s="55" t="s">
        <v>149</v>
      </c>
      <c r="H25" s="56" t="s">
        <v>200</v>
      </c>
      <c r="I25" s="56"/>
      <c r="J25" s="56"/>
      <c r="K25" s="56" t="s">
        <v>199</v>
      </c>
    </row>
    <row r="26" spans="1:11" hidden="1" x14ac:dyDescent="0.5">
      <c r="B26" s="83"/>
      <c r="C26" s="84"/>
      <c r="D26" s="84"/>
      <c r="E26" s="84"/>
      <c r="F26" s="85"/>
      <c r="G26" s="35" t="s">
        <v>100</v>
      </c>
      <c r="H26" s="54"/>
      <c r="I26" s="54"/>
      <c r="J26" s="54"/>
      <c r="K26" s="54"/>
    </row>
    <row r="27" spans="1:11" hidden="1" x14ac:dyDescent="0.5"/>
    <row r="28" spans="1:11" ht="36" hidden="1" thickBot="1" x14ac:dyDescent="0.55000000000000004">
      <c r="B28" s="80" t="s">
        <v>263</v>
      </c>
      <c r="C28" s="81"/>
      <c r="D28" s="81"/>
      <c r="E28" s="81"/>
      <c r="F28" s="81"/>
      <c r="G28" s="81"/>
      <c r="H28" s="81"/>
      <c r="I28" s="81"/>
      <c r="J28" s="81"/>
      <c r="K28" s="81"/>
    </row>
    <row r="29" spans="1:11" hidden="1" x14ac:dyDescent="0.5">
      <c r="B29" s="82" t="s">
        <v>198</v>
      </c>
      <c r="C29" s="82"/>
      <c r="D29" s="82"/>
      <c r="E29" s="82"/>
      <c r="F29" s="82"/>
      <c r="G29" s="55" t="s">
        <v>149</v>
      </c>
      <c r="H29" s="56" t="s">
        <v>200</v>
      </c>
      <c r="I29" s="56"/>
      <c r="J29" s="56"/>
      <c r="K29" s="56" t="s">
        <v>199</v>
      </c>
    </row>
    <row r="30" spans="1:11" hidden="1" x14ac:dyDescent="0.5">
      <c r="B30" s="83"/>
      <c r="C30" s="84"/>
      <c r="D30" s="84"/>
      <c r="E30" s="84"/>
      <c r="F30" s="85"/>
      <c r="G30" s="35" t="s">
        <v>100</v>
      </c>
      <c r="H30" s="54"/>
      <c r="I30" s="54"/>
      <c r="J30" s="54"/>
      <c r="K30" s="54"/>
    </row>
  </sheetData>
  <mergeCells count="10">
    <mergeCell ref="B29:F29"/>
    <mergeCell ref="B30:F30"/>
    <mergeCell ref="B26:F26"/>
    <mergeCell ref="B24:K24"/>
    <mergeCell ref="B25:F25"/>
    <mergeCell ref="B2:K2"/>
    <mergeCell ref="B17:K17"/>
    <mergeCell ref="B22:F22"/>
    <mergeCell ref="K5:K8"/>
    <mergeCell ref="B28:K28"/>
  </mergeCells>
  <dataValidations count="1">
    <dataValidation type="list" allowBlank="1" showInputMessage="1" showErrorMessage="1" sqref="G19 K14 D19:E19 K12 D4:E14 G4:G14" xr:uid="{9F16614A-6145-464D-BE7D-B35B667F54BC}">
      <formula1>#REF!</formula1>
    </dataValidation>
  </dataValidations>
  <pageMargins left="0.511811024" right="0.511811024" top="0.78740157499999996" bottom="0.78740157499999996" header="0.31496062000000002" footer="0.31496062000000002"/>
  <pageSetup paperSize="9" scale="64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6235E-D1A5-4B39-864F-D9EEB05EC66A}">
  <dimension ref="A1:R49"/>
  <sheetViews>
    <sheetView topLeftCell="A8" zoomScaleNormal="100" workbookViewId="0">
      <selection activeCell="H3" sqref="H3:L38"/>
    </sheetView>
  </sheetViews>
  <sheetFormatPr defaultRowHeight="15" x14ac:dyDescent="0.25"/>
  <cols>
    <col min="1" max="1" width="25.7109375" customWidth="1"/>
    <col min="2" max="2" width="14.140625" customWidth="1"/>
    <col min="3" max="3" width="3.85546875" customWidth="1"/>
    <col min="4" max="4" width="13.28515625" bestFit="1" customWidth="1"/>
    <col min="5" max="5" width="8.5703125" bestFit="1" customWidth="1"/>
    <col min="6" max="6" width="32.85546875" bestFit="1" customWidth="1"/>
    <col min="7" max="7" width="3.85546875" customWidth="1"/>
    <col min="8" max="8" width="9.85546875" customWidth="1"/>
    <col min="9" max="9" width="19.5703125" customWidth="1"/>
    <col min="10" max="10" width="15.42578125" bestFit="1" customWidth="1"/>
    <col min="11" max="11" width="4.42578125" bestFit="1" customWidth="1"/>
    <col min="12" max="12" width="13.140625" customWidth="1"/>
    <col min="13" max="13" width="3.7109375" customWidth="1"/>
    <col min="14" max="14" width="7.5703125" customWidth="1"/>
    <col min="15" max="15" width="32.85546875" bestFit="1" customWidth="1"/>
    <col min="16" max="16" width="10.5703125" bestFit="1" customWidth="1"/>
    <col min="17" max="17" width="4.42578125" bestFit="1" customWidth="1"/>
    <col min="18" max="18" width="26.85546875" customWidth="1"/>
  </cols>
  <sheetData>
    <row r="1" spans="1:18" ht="15.75" thickBot="1" x14ac:dyDescent="0.3"/>
    <row r="2" spans="1:18" ht="16.5" customHeight="1" thickBot="1" x14ac:dyDescent="0.3">
      <c r="A2" s="31" t="s">
        <v>12</v>
      </c>
      <c r="B2" s="31" t="s">
        <v>13</v>
      </c>
      <c r="D2" s="40" t="s">
        <v>4</v>
      </c>
      <c r="E2" s="40" t="s">
        <v>136</v>
      </c>
      <c r="F2" s="40" t="s">
        <v>77</v>
      </c>
      <c r="H2" s="40" t="s">
        <v>147</v>
      </c>
      <c r="I2" s="40" t="s">
        <v>148</v>
      </c>
      <c r="J2" s="40" t="s">
        <v>149</v>
      </c>
      <c r="K2" s="40" t="s">
        <v>197</v>
      </c>
      <c r="L2" s="40" t="s">
        <v>9</v>
      </c>
      <c r="N2" s="40" t="s">
        <v>147</v>
      </c>
      <c r="O2" s="40" t="s">
        <v>171</v>
      </c>
      <c r="P2" s="40" t="s">
        <v>149</v>
      </c>
      <c r="Q2" s="40" t="s">
        <v>197</v>
      </c>
      <c r="R2" s="40" t="s">
        <v>9</v>
      </c>
    </row>
    <row r="3" spans="1:18" ht="16.5" customHeight="1" thickBot="1" x14ac:dyDescent="0.3">
      <c r="A3" s="30" t="s">
        <v>201</v>
      </c>
      <c r="B3" s="30" t="s">
        <v>16</v>
      </c>
      <c r="D3" s="30" t="s">
        <v>16</v>
      </c>
      <c r="E3" s="42" t="s">
        <v>138</v>
      </c>
      <c r="F3" s="42" t="s">
        <v>135</v>
      </c>
      <c r="H3" s="41">
        <v>169</v>
      </c>
      <c r="I3" s="42" t="s">
        <v>79</v>
      </c>
      <c r="J3" s="41" t="s">
        <v>100</v>
      </c>
      <c r="K3" s="43"/>
      <c r="L3" s="43" t="s">
        <v>150</v>
      </c>
      <c r="N3" s="41">
        <v>65</v>
      </c>
      <c r="O3" s="42" t="s">
        <v>37</v>
      </c>
      <c r="P3" s="41" t="s">
        <v>100</v>
      </c>
      <c r="Q3" s="41"/>
      <c r="R3" s="43" t="s">
        <v>172</v>
      </c>
    </row>
    <row r="4" spans="1:18" ht="16.5" customHeight="1" thickBot="1" x14ac:dyDescent="0.3">
      <c r="A4" s="30" t="s">
        <v>202</v>
      </c>
      <c r="B4" s="30" t="s">
        <v>19</v>
      </c>
      <c r="D4" s="30" t="s">
        <v>19</v>
      </c>
      <c r="E4" s="42" t="s">
        <v>138</v>
      </c>
      <c r="F4" s="42" t="s">
        <v>139</v>
      </c>
      <c r="H4" s="41">
        <v>452</v>
      </c>
      <c r="I4" s="42" t="s">
        <v>214</v>
      </c>
      <c r="J4" s="41" t="s">
        <v>100</v>
      </c>
      <c r="K4" s="43"/>
      <c r="L4" s="43"/>
      <c r="N4" s="41">
        <v>46</v>
      </c>
      <c r="O4" s="42" t="s">
        <v>38</v>
      </c>
      <c r="P4" s="41" t="s">
        <v>100</v>
      </c>
      <c r="Q4" s="41"/>
      <c r="R4" s="43" t="s">
        <v>173</v>
      </c>
    </row>
    <row r="5" spans="1:18" ht="16.5" customHeight="1" thickBot="1" x14ac:dyDescent="0.3">
      <c r="A5" s="30" t="s">
        <v>103</v>
      </c>
      <c r="B5" s="30" t="s">
        <v>28</v>
      </c>
      <c r="D5" s="30" t="s">
        <v>28</v>
      </c>
      <c r="E5" s="42" t="s">
        <v>138</v>
      </c>
      <c r="F5" s="42" t="s">
        <v>78</v>
      </c>
      <c r="H5" s="41">
        <v>184</v>
      </c>
      <c r="I5" s="42" t="s">
        <v>80</v>
      </c>
      <c r="J5" s="41" t="s">
        <v>100</v>
      </c>
      <c r="K5" s="43"/>
      <c r="L5" s="43" t="s">
        <v>151</v>
      </c>
      <c r="N5" s="41">
        <v>18</v>
      </c>
      <c r="O5" s="42" t="s">
        <v>174</v>
      </c>
      <c r="P5" s="41" t="s">
        <v>100</v>
      </c>
      <c r="Q5" s="41"/>
      <c r="R5" s="43" t="s">
        <v>221</v>
      </c>
    </row>
    <row r="6" spans="1:18" ht="16.5" customHeight="1" thickBot="1" x14ac:dyDescent="0.3">
      <c r="A6" s="30" t="s">
        <v>95</v>
      </c>
      <c r="B6" s="30" t="s">
        <v>20</v>
      </c>
      <c r="D6" s="30" t="s">
        <v>20</v>
      </c>
      <c r="E6" s="42" t="s">
        <v>138</v>
      </c>
      <c r="F6" s="42" t="s">
        <v>53</v>
      </c>
      <c r="H6" s="41">
        <v>257</v>
      </c>
      <c r="I6" s="42" t="s">
        <v>60</v>
      </c>
      <c r="J6" s="41" t="s">
        <v>152</v>
      </c>
      <c r="K6" s="43"/>
      <c r="L6" s="43" t="s">
        <v>153</v>
      </c>
      <c r="N6" s="41">
        <v>40</v>
      </c>
      <c r="O6" s="42" t="s">
        <v>175</v>
      </c>
      <c r="P6" s="41" t="s">
        <v>100</v>
      </c>
      <c r="Q6" s="41"/>
      <c r="R6" s="43" t="s">
        <v>222</v>
      </c>
    </row>
    <row r="7" spans="1:18" ht="16.5" customHeight="1" thickBot="1" x14ac:dyDescent="0.3">
      <c r="A7" s="30" t="s">
        <v>96</v>
      </c>
      <c r="B7" s="30" t="s">
        <v>14</v>
      </c>
      <c r="D7" s="30" t="s">
        <v>14</v>
      </c>
      <c r="E7" s="42" t="s">
        <v>138</v>
      </c>
      <c r="F7" s="42" t="s">
        <v>78</v>
      </c>
      <c r="H7" s="41">
        <v>401</v>
      </c>
      <c r="I7" s="42" t="s">
        <v>154</v>
      </c>
      <c r="J7" s="41" t="s">
        <v>100</v>
      </c>
      <c r="K7" s="43"/>
      <c r="L7" s="43" t="s">
        <v>223</v>
      </c>
      <c r="N7" s="41">
        <v>343</v>
      </c>
      <c r="O7" s="42" t="s">
        <v>39</v>
      </c>
      <c r="P7" s="41" t="s">
        <v>100</v>
      </c>
      <c r="Q7" s="41"/>
      <c r="R7" s="43" t="s">
        <v>176</v>
      </c>
    </row>
    <row r="8" spans="1:18" ht="16.5" customHeight="1" thickBot="1" x14ac:dyDescent="0.3">
      <c r="A8" s="30" t="s">
        <v>104</v>
      </c>
      <c r="B8" s="30" t="s">
        <v>76</v>
      </c>
      <c r="D8" s="30" t="s">
        <v>76</v>
      </c>
      <c r="E8" s="42" t="s">
        <v>138</v>
      </c>
      <c r="F8" s="42" t="s">
        <v>54</v>
      </c>
      <c r="H8" s="41">
        <v>415</v>
      </c>
      <c r="I8" s="42" t="s">
        <v>168</v>
      </c>
      <c r="J8" s="41" t="s">
        <v>100</v>
      </c>
      <c r="K8" s="43"/>
      <c r="L8" s="43" t="s">
        <v>224</v>
      </c>
      <c r="N8" s="41">
        <v>16</v>
      </c>
      <c r="O8" s="42" t="s">
        <v>139</v>
      </c>
      <c r="P8" s="41" t="s">
        <v>100</v>
      </c>
      <c r="Q8" s="41"/>
      <c r="R8" s="43" t="s">
        <v>225</v>
      </c>
    </row>
    <row r="9" spans="1:18" ht="16.5" customHeight="1" thickBot="1" x14ac:dyDescent="0.3">
      <c r="A9" s="30" t="s">
        <v>105</v>
      </c>
      <c r="B9" s="30" t="s">
        <v>67</v>
      </c>
      <c r="D9" s="30" t="s">
        <v>67</v>
      </c>
      <c r="E9" s="42" t="s">
        <v>138</v>
      </c>
      <c r="F9" s="42" t="s">
        <v>43</v>
      </c>
      <c r="H9" s="41">
        <v>470</v>
      </c>
      <c r="I9" s="42" t="s">
        <v>215</v>
      </c>
      <c r="J9" s="41" t="s">
        <v>100</v>
      </c>
      <c r="K9" s="43"/>
      <c r="L9" s="44"/>
      <c r="N9" s="41">
        <v>17</v>
      </c>
      <c r="O9" s="42" t="s">
        <v>40</v>
      </c>
      <c r="P9" s="41" t="s">
        <v>100</v>
      </c>
      <c r="Q9" s="41"/>
      <c r="R9" s="43" t="s">
        <v>177</v>
      </c>
    </row>
    <row r="10" spans="1:18" ht="16.5" customHeight="1" thickBot="1" x14ac:dyDescent="0.3">
      <c r="A10" s="30" t="s">
        <v>106</v>
      </c>
      <c r="B10" s="30" t="s">
        <v>226</v>
      </c>
      <c r="D10" s="30" t="s">
        <v>226</v>
      </c>
      <c r="E10" s="42" t="s">
        <v>138</v>
      </c>
      <c r="F10" s="42" t="s">
        <v>81</v>
      </c>
      <c r="H10" s="41">
        <v>147</v>
      </c>
      <c r="I10" s="42" t="s">
        <v>155</v>
      </c>
      <c r="J10" s="41" t="s">
        <v>156</v>
      </c>
      <c r="K10" s="43"/>
      <c r="L10" s="43" t="s">
        <v>227</v>
      </c>
      <c r="N10" s="41">
        <v>130</v>
      </c>
      <c r="O10" s="42" t="s">
        <v>81</v>
      </c>
      <c r="P10" s="41" t="s">
        <v>100</v>
      </c>
      <c r="Q10" s="41"/>
      <c r="R10" s="43" t="s">
        <v>228</v>
      </c>
    </row>
    <row r="11" spans="1:18" ht="16.5" customHeight="1" thickBot="1" x14ac:dyDescent="0.3">
      <c r="A11" s="30" t="s">
        <v>107</v>
      </c>
      <c r="B11" s="30" t="s">
        <v>229</v>
      </c>
      <c r="D11" s="30" t="s">
        <v>229</v>
      </c>
      <c r="E11" s="42" t="s">
        <v>138</v>
      </c>
      <c r="F11" s="42" t="s">
        <v>142</v>
      </c>
      <c r="H11" s="41">
        <v>450</v>
      </c>
      <c r="I11" s="42" t="s">
        <v>230</v>
      </c>
      <c r="J11" s="41" t="s">
        <v>91</v>
      </c>
      <c r="K11" s="43"/>
      <c r="L11" s="44"/>
      <c r="N11" s="41">
        <v>141</v>
      </c>
      <c r="O11" s="42" t="s">
        <v>41</v>
      </c>
      <c r="P11" s="41" t="s">
        <v>100</v>
      </c>
      <c r="Q11" s="41"/>
      <c r="R11" s="43" t="s">
        <v>178</v>
      </c>
    </row>
    <row r="12" spans="1:18" ht="16.5" customHeight="1" thickBot="1" x14ac:dyDescent="0.3">
      <c r="A12" s="30" t="s">
        <v>108</v>
      </c>
      <c r="B12" s="30" t="s">
        <v>218</v>
      </c>
      <c r="D12" s="30" t="s">
        <v>218</v>
      </c>
      <c r="E12" s="42" t="s">
        <v>138</v>
      </c>
      <c r="F12" s="42" t="s">
        <v>45</v>
      </c>
      <c r="H12" s="41">
        <v>468</v>
      </c>
      <c r="I12" s="42" t="s">
        <v>231</v>
      </c>
      <c r="J12" s="41" t="s">
        <v>100</v>
      </c>
      <c r="K12" s="43"/>
      <c r="L12" s="44"/>
      <c r="N12" s="41">
        <v>439</v>
      </c>
      <c r="O12" s="42" t="s">
        <v>204</v>
      </c>
      <c r="P12" s="41" t="s">
        <v>156</v>
      </c>
      <c r="Q12" s="41"/>
      <c r="R12" s="43"/>
    </row>
    <row r="13" spans="1:18" ht="16.5" customHeight="1" thickBot="1" x14ac:dyDescent="0.3">
      <c r="A13" s="30" t="s">
        <v>109</v>
      </c>
      <c r="B13" s="30" t="s">
        <v>219</v>
      </c>
      <c r="D13" s="30" t="s">
        <v>219</v>
      </c>
      <c r="E13" s="42" t="s">
        <v>138</v>
      </c>
      <c r="F13" s="42" t="s">
        <v>37</v>
      </c>
      <c r="H13" s="41">
        <v>433</v>
      </c>
      <c r="I13" s="42" t="s">
        <v>212</v>
      </c>
      <c r="J13" s="41" t="s">
        <v>156</v>
      </c>
      <c r="K13" s="43"/>
      <c r="L13" s="43"/>
      <c r="N13" s="41">
        <v>339</v>
      </c>
      <c r="O13" s="42" t="s">
        <v>43</v>
      </c>
      <c r="P13" s="41" t="s">
        <v>100</v>
      </c>
      <c r="Q13" s="41"/>
      <c r="R13" s="43" t="s">
        <v>179</v>
      </c>
    </row>
    <row r="14" spans="1:18" ht="16.5" customHeight="1" thickBot="1" x14ac:dyDescent="0.3">
      <c r="A14" s="30" t="s">
        <v>110</v>
      </c>
      <c r="B14" s="30" t="s">
        <v>217</v>
      </c>
      <c r="D14" s="30" t="s">
        <v>217</v>
      </c>
      <c r="E14" s="42" t="s">
        <v>138</v>
      </c>
      <c r="F14" s="42" t="s">
        <v>46</v>
      </c>
      <c r="H14" s="41">
        <v>469</v>
      </c>
      <c r="I14" s="42" t="s">
        <v>211</v>
      </c>
      <c r="J14" s="41" t="s">
        <v>156</v>
      </c>
      <c r="K14" s="43"/>
      <c r="L14" s="43"/>
      <c r="N14" s="41">
        <v>90</v>
      </c>
      <c r="O14" s="42" t="s">
        <v>180</v>
      </c>
      <c r="P14" s="41" t="s">
        <v>100</v>
      </c>
      <c r="Q14" s="41"/>
      <c r="R14" s="43">
        <v>63992937184</v>
      </c>
    </row>
    <row r="15" spans="1:18" ht="16.5" customHeight="1" thickBot="1" x14ac:dyDescent="0.3">
      <c r="A15" s="30" t="s">
        <v>111</v>
      </c>
      <c r="B15" s="30" t="s">
        <v>232</v>
      </c>
      <c r="D15" s="30" t="s">
        <v>232</v>
      </c>
      <c r="E15" s="42" t="s">
        <v>138</v>
      </c>
      <c r="F15" s="42" t="s">
        <v>42</v>
      </c>
      <c r="H15" s="41">
        <v>111</v>
      </c>
      <c r="I15" s="42" t="s">
        <v>158</v>
      </c>
      <c r="J15" s="41" t="s">
        <v>156</v>
      </c>
      <c r="K15" s="43"/>
      <c r="L15" s="43" t="s">
        <v>233</v>
      </c>
      <c r="N15" s="41">
        <v>386</v>
      </c>
      <c r="O15" s="42" t="s">
        <v>143</v>
      </c>
      <c r="P15" s="41" t="s">
        <v>100</v>
      </c>
      <c r="Q15" s="41"/>
      <c r="R15" s="43" t="s">
        <v>234</v>
      </c>
    </row>
    <row r="16" spans="1:18" ht="16.5" customHeight="1" thickBot="1" x14ac:dyDescent="0.3">
      <c r="A16" s="30" t="s">
        <v>112</v>
      </c>
      <c r="B16" s="30" t="s">
        <v>66</v>
      </c>
      <c r="D16" s="30" t="s">
        <v>66</v>
      </c>
      <c r="E16" s="42" t="s">
        <v>137</v>
      </c>
      <c r="F16" s="42" t="s">
        <v>39</v>
      </c>
      <c r="H16" s="41">
        <v>267</v>
      </c>
      <c r="I16" s="42" t="s">
        <v>61</v>
      </c>
      <c r="J16" s="41" t="s">
        <v>100</v>
      </c>
      <c r="K16" s="43"/>
      <c r="L16" s="43" t="s">
        <v>159</v>
      </c>
      <c r="N16" s="41">
        <v>328</v>
      </c>
      <c r="O16" s="42" t="s">
        <v>44</v>
      </c>
      <c r="P16" s="41" t="s">
        <v>100</v>
      </c>
      <c r="Q16" s="41"/>
      <c r="R16" s="41" t="s">
        <v>181</v>
      </c>
    </row>
    <row r="17" spans="1:18" ht="16.5" customHeight="1" thickBot="1" x14ac:dyDescent="0.3">
      <c r="A17" s="30" t="s">
        <v>91</v>
      </c>
      <c r="B17" s="30" t="s">
        <v>68</v>
      </c>
      <c r="D17" s="30" t="s">
        <v>68</v>
      </c>
      <c r="E17" s="42" t="s">
        <v>137</v>
      </c>
      <c r="F17" s="42" t="s">
        <v>78</v>
      </c>
      <c r="H17" s="41">
        <v>435</v>
      </c>
      <c r="I17" s="42" t="s">
        <v>203</v>
      </c>
      <c r="J17" s="41" t="s">
        <v>100</v>
      </c>
      <c r="K17" s="43"/>
      <c r="L17" s="43"/>
      <c r="N17" s="41">
        <v>284</v>
      </c>
      <c r="O17" s="42" t="s">
        <v>82</v>
      </c>
      <c r="P17" s="41" t="s">
        <v>100</v>
      </c>
      <c r="Q17" s="41"/>
      <c r="R17" s="43" t="s">
        <v>157</v>
      </c>
    </row>
    <row r="18" spans="1:18" ht="16.5" customHeight="1" thickBot="1" x14ac:dyDescent="0.3">
      <c r="A18" s="30" t="s">
        <v>113</v>
      </c>
      <c r="B18" s="30" t="s">
        <v>69</v>
      </c>
      <c r="D18" s="30" t="s">
        <v>69</v>
      </c>
      <c r="E18" s="42" t="s">
        <v>137</v>
      </c>
      <c r="F18" s="42" t="s">
        <v>38</v>
      </c>
      <c r="H18" s="41">
        <v>157</v>
      </c>
      <c r="I18" s="42" t="s">
        <v>62</v>
      </c>
      <c r="J18" s="41" t="s">
        <v>100</v>
      </c>
      <c r="K18" s="43"/>
      <c r="L18" s="43" t="s">
        <v>160</v>
      </c>
      <c r="N18" s="41">
        <v>293</v>
      </c>
      <c r="O18" s="42" t="s">
        <v>45</v>
      </c>
      <c r="P18" s="41" t="s">
        <v>100</v>
      </c>
      <c r="Q18" s="41"/>
      <c r="R18" s="43" t="s">
        <v>182</v>
      </c>
    </row>
    <row r="19" spans="1:18" ht="16.5" customHeight="1" thickBot="1" x14ac:dyDescent="0.3">
      <c r="A19" s="30" t="s">
        <v>99</v>
      </c>
      <c r="B19" s="30" t="s">
        <v>70</v>
      </c>
      <c r="D19" s="30" t="s">
        <v>70</v>
      </c>
      <c r="E19" s="42" t="s">
        <v>137</v>
      </c>
      <c r="F19" s="42" t="s">
        <v>56</v>
      </c>
      <c r="H19" s="41">
        <v>379</v>
      </c>
      <c r="I19" s="42" t="s">
        <v>131</v>
      </c>
      <c r="J19" s="41" t="s">
        <v>100</v>
      </c>
      <c r="K19" s="43"/>
      <c r="L19" s="43" t="s">
        <v>235</v>
      </c>
      <c r="N19" s="41">
        <v>171</v>
      </c>
      <c r="O19" s="42" t="s">
        <v>46</v>
      </c>
      <c r="P19" s="41" t="s">
        <v>100</v>
      </c>
      <c r="Q19" s="41"/>
      <c r="R19" s="43" t="s">
        <v>183</v>
      </c>
    </row>
    <row r="20" spans="1:18" ht="16.5" customHeight="1" thickBot="1" x14ac:dyDescent="0.3">
      <c r="A20" s="30" t="s">
        <v>92</v>
      </c>
      <c r="B20" s="30" t="s">
        <v>71</v>
      </c>
      <c r="D20" s="30" t="s">
        <v>71</v>
      </c>
      <c r="E20" s="42" t="s">
        <v>137</v>
      </c>
      <c r="F20" s="42" t="s">
        <v>85</v>
      </c>
      <c r="H20" s="41">
        <v>25</v>
      </c>
      <c r="I20" s="42" t="s">
        <v>83</v>
      </c>
      <c r="J20" s="41" t="s">
        <v>100</v>
      </c>
      <c r="K20" s="43"/>
      <c r="L20" s="43" t="s">
        <v>161</v>
      </c>
      <c r="N20" s="41">
        <v>265</v>
      </c>
      <c r="O20" s="42" t="s">
        <v>47</v>
      </c>
      <c r="P20" s="41" t="s">
        <v>100</v>
      </c>
      <c r="Q20" s="41"/>
      <c r="R20" s="43" t="s">
        <v>184</v>
      </c>
    </row>
    <row r="21" spans="1:18" ht="16.5" customHeight="1" thickBot="1" x14ac:dyDescent="0.3">
      <c r="A21" s="30" t="s">
        <v>114</v>
      </c>
      <c r="B21" s="30" t="s">
        <v>72</v>
      </c>
      <c r="D21" s="30" t="s">
        <v>72</v>
      </c>
      <c r="E21" s="42" t="s">
        <v>137</v>
      </c>
      <c r="F21" s="42" t="s">
        <v>44</v>
      </c>
      <c r="H21" s="41">
        <v>26</v>
      </c>
      <c r="I21" s="42" t="s">
        <v>236</v>
      </c>
      <c r="J21" s="41" t="s">
        <v>100</v>
      </c>
      <c r="K21" s="43"/>
      <c r="L21" s="43"/>
      <c r="N21" s="41">
        <v>51</v>
      </c>
      <c r="O21" s="42" t="s">
        <v>48</v>
      </c>
      <c r="P21" s="41" t="s">
        <v>100</v>
      </c>
      <c r="Q21" s="41"/>
      <c r="R21" s="43" t="s">
        <v>185</v>
      </c>
    </row>
    <row r="22" spans="1:18" ht="16.5" customHeight="1" thickBot="1" x14ac:dyDescent="0.3">
      <c r="A22" s="30" t="s">
        <v>115</v>
      </c>
      <c r="B22" s="30" t="s">
        <v>74</v>
      </c>
      <c r="D22" s="30" t="s">
        <v>74</v>
      </c>
      <c r="E22" s="42" t="s">
        <v>137</v>
      </c>
      <c r="F22" s="42" t="s">
        <v>143</v>
      </c>
      <c r="H22" s="41">
        <v>357</v>
      </c>
      <c r="I22" s="42" t="s">
        <v>84</v>
      </c>
      <c r="J22" s="41" t="s">
        <v>100</v>
      </c>
      <c r="K22" s="43"/>
      <c r="L22" s="43" t="s">
        <v>162</v>
      </c>
      <c r="N22" s="41">
        <v>286</v>
      </c>
      <c r="O22" s="42" t="s">
        <v>49</v>
      </c>
      <c r="P22" s="41" t="s">
        <v>100</v>
      </c>
      <c r="Q22" s="41"/>
      <c r="R22" s="43" t="s">
        <v>186</v>
      </c>
    </row>
    <row r="23" spans="1:18" ht="16.5" customHeight="1" thickBot="1" x14ac:dyDescent="0.3">
      <c r="A23" s="30" t="s">
        <v>116</v>
      </c>
      <c r="B23" s="30" t="s">
        <v>73</v>
      </c>
      <c r="D23" s="30" t="s">
        <v>73</v>
      </c>
      <c r="E23" s="42" t="s">
        <v>137</v>
      </c>
      <c r="F23" s="42" t="s">
        <v>58</v>
      </c>
      <c r="H23" s="41">
        <v>434</v>
      </c>
      <c r="I23" s="42" t="s">
        <v>237</v>
      </c>
      <c r="J23" s="41" t="s">
        <v>100</v>
      </c>
      <c r="K23" s="43"/>
      <c r="L23" s="43"/>
      <c r="N23" s="41">
        <v>295</v>
      </c>
      <c r="O23" s="42" t="s">
        <v>50</v>
      </c>
      <c r="P23" s="41" t="s">
        <v>156</v>
      </c>
      <c r="Q23" s="41"/>
      <c r="R23" s="43" t="s">
        <v>187</v>
      </c>
    </row>
    <row r="24" spans="1:18" ht="16.5" customHeight="1" thickBot="1" x14ac:dyDescent="0.3">
      <c r="A24" s="30" t="s">
        <v>117</v>
      </c>
      <c r="B24" s="30" t="s">
        <v>34</v>
      </c>
      <c r="D24" s="30" t="s">
        <v>34</v>
      </c>
      <c r="E24" s="42" t="s">
        <v>138</v>
      </c>
      <c r="F24" s="42" t="s">
        <v>51</v>
      </c>
      <c r="H24" s="41">
        <v>226</v>
      </c>
      <c r="I24" s="42" t="s">
        <v>63</v>
      </c>
      <c r="J24" s="41" t="s">
        <v>100</v>
      </c>
      <c r="K24" s="43"/>
      <c r="L24" s="43" t="s">
        <v>163</v>
      </c>
      <c r="N24" s="41">
        <v>58</v>
      </c>
      <c r="O24" s="42" t="s">
        <v>51</v>
      </c>
      <c r="P24" s="41" t="s">
        <v>100</v>
      </c>
      <c r="Q24" s="41"/>
      <c r="R24" s="43" t="s">
        <v>188</v>
      </c>
    </row>
    <row r="25" spans="1:18" ht="16.5" customHeight="1" thickBot="1" x14ac:dyDescent="0.3">
      <c r="A25" s="30" t="s">
        <v>118</v>
      </c>
      <c r="B25" s="30" t="s">
        <v>31</v>
      </c>
      <c r="D25" s="30" t="s">
        <v>31</v>
      </c>
      <c r="E25" s="42" t="s">
        <v>138</v>
      </c>
      <c r="F25" s="42" t="s">
        <v>78</v>
      </c>
      <c r="H25" s="41">
        <v>365</v>
      </c>
      <c r="I25" s="42" t="s">
        <v>132</v>
      </c>
      <c r="J25" s="41" t="s">
        <v>100</v>
      </c>
      <c r="K25" s="43"/>
      <c r="L25" s="44" t="s">
        <v>238</v>
      </c>
      <c r="N25" s="41">
        <v>216</v>
      </c>
      <c r="O25" s="42" t="s">
        <v>85</v>
      </c>
      <c r="P25" s="41" t="s">
        <v>100</v>
      </c>
      <c r="Q25" s="41"/>
      <c r="R25" s="43" t="s">
        <v>239</v>
      </c>
    </row>
    <row r="26" spans="1:18" ht="16.5" customHeight="1" thickBot="1" x14ac:dyDescent="0.3">
      <c r="A26" s="30" t="s">
        <v>119</v>
      </c>
      <c r="B26" s="30" t="s">
        <v>27</v>
      </c>
      <c r="D26" s="30" t="s">
        <v>27</v>
      </c>
      <c r="E26" s="42" t="s">
        <v>138</v>
      </c>
      <c r="F26" s="42" t="s">
        <v>52</v>
      </c>
      <c r="H26" s="41">
        <v>276</v>
      </c>
      <c r="I26" s="42" t="s">
        <v>64</v>
      </c>
      <c r="J26" s="41" t="s">
        <v>100</v>
      </c>
      <c r="K26" s="43"/>
      <c r="L26" s="45" t="s">
        <v>164</v>
      </c>
      <c r="N26" s="41">
        <v>432</v>
      </c>
      <c r="O26" s="42" t="s">
        <v>240</v>
      </c>
      <c r="P26" s="41" t="s">
        <v>156</v>
      </c>
      <c r="Q26" s="41"/>
      <c r="R26" s="43"/>
    </row>
    <row r="27" spans="1:18" ht="16.5" customHeight="1" thickBot="1" x14ac:dyDescent="0.3">
      <c r="A27" s="30" t="s">
        <v>120</v>
      </c>
      <c r="B27" s="30" t="s">
        <v>26</v>
      </c>
      <c r="D27" s="30" t="s">
        <v>26</v>
      </c>
      <c r="E27" s="42" t="s">
        <v>138</v>
      </c>
      <c r="F27" s="42" t="s">
        <v>41</v>
      </c>
      <c r="H27" s="41">
        <v>418</v>
      </c>
      <c r="I27" s="42" t="s">
        <v>241</v>
      </c>
      <c r="J27" s="41" t="s">
        <v>100</v>
      </c>
      <c r="K27" s="46"/>
      <c r="L27" s="47" t="s">
        <v>242</v>
      </c>
      <c r="N27" s="41">
        <v>466</v>
      </c>
      <c r="O27" s="42" t="s">
        <v>209</v>
      </c>
      <c r="P27" s="41" t="s">
        <v>156</v>
      </c>
      <c r="Q27" s="41"/>
      <c r="R27" s="43"/>
    </row>
    <row r="28" spans="1:18" ht="16.5" customHeight="1" thickBot="1" x14ac:dyDescent="0.3">
      <c r="A28" s="30" t="s">
        <v>121</v>
      </c>
      <c r="B28" s="30" t="s">
        <v>21</v>
      </c>
      <c r="D28" s="30" t="s">
        <v>21</v>
      </c>
      <c r="E28" s="42" t="s">
        <v>138</v>
      </c>
      <c r="F28" s="42" t="s">
        <v>36</v>
      </c>
      <c r="H28" s="41">
        <v>338</v>
      </c>
      <c r="I28" s="42" t="s">
        <v>86</v>
      </c>
      <c r="J28" s="41" t="s">
        <v>100</v>
      </c>
      <c r="K28" s="46"/>
      <c r="L28" s="48" t="s">
        <v>165</v>
      </c>
      <c r="N28" s="41">
        <v>381</v>
      </c>
      <c r="O28" s="42" t="s">
        <v>140</v>
      </c>
      <c r="P28" s="41" t="s">
        <v>156</v>
      </c>
      <c r="Q28" s="41"/>
      <c r="R28" s="43" t="s">
        <v>243</v>
      </c>
    </row>
    <row r="29" spans="1:18" ht="16.5" customHeight="1" thickBot="1" x14ac:dyDescent="0.3">
      <c r="A29" s="30" t="s">
        <v>122</v>
      </c>
      <c r="B29" s="30" t="s">
        <v>75</v>
      </c>
      <c r="D29" s="30" t="s">
        <v>75</v>
      </c>
      <c r="E29" s="42" t="s">
        <v>138</v>
      </c>
      <c r="F29" s="42" t="s">
        <v>59</v>
      </c>
      <c r="H29" s="41">
        <v>467</v>
      </c>
      <c r="I29" s="42" t="s">
        <v>213</v>
      </c>
      <c r="J29" s="41" t="s">
        <v>100</v>
      </c>
      <c r="K29" s="46"/>
      <c r="L29" s="48"/>
      <c r="N29" s="41">
        <v>474</v>
      </c>
      <c r="O29" s="42" t="s">
        <v>210</v>
      </c>
      <c r="P29" s="41" t="s">
        <v>156</v>
      </c>
      <c r="Q29" s="41"/>
      <c r="R29" s="43"/>
    </row>
    <row r="30" spans="1:18" ht="16.5" customHeight="1" thickBot="1" x14ac:dyDescent="0.3">
      <c r="A30" s="30" t="s">
        <v>123</v>
      </c>
      <c r="B30" s="30" t="s">
        <v>29</v>
      </c>
      <c r="D30" s="30" t="s">
        <v>29</v>
      </c>
      <c r="E30" s="42" t="s">
        <v>138</v>
      </c>
      <c r="F30" s="42" t="s">
        <v>144</v>
      </c>
      <c r="H30" s="41">
        <v>402</v>
      </c>
      <c r="I30" s="42" t="s">
        <v>166</v>
      </c>
      <c r="J30" s="41" t="s">
        <v>100</v>
      </c>
      <c r="K30" s="46"/>
      <c r="L30" s="48" t="s">
        <v>244</v>
      </c>
      <c r="N30" s="41">
        <v>191</v>
      </c>
      <c r="O30" s="42" t="s">
        <v>52</v>
      </c>
      <c r="P30" s="41" t="s">
        <v>100</v>
      </c>
      <c r="Q30" s="41"/>
      <c r="R30" s="43" t="s">
        <v>189</v>
      </c>
    </row>
    <row r="31" spans="1:18" ht="16.5" customHeight="1" thickBot="1" x14ac:dyDescent="0.3">
      <c r="A31" s="30" t="s">
        <v>124</v>
      </c>
      <c r="B31" s="30" t="s">
        <v>18</v>
      </c>
      <c r="D31" s="30" t="s">
        <v>18</v>
      </c>
      <c r="E31" s="42" t="s">
        <v>138</v>
      </c>
      <c r="F31" s="42" t="s">
        <v>145</v>
      </c>
      <c r="H31" s="41">
        <v>263</v>
      </c>
      <c r="I31" s="42" t="s">
        <v>65</v>
      </c>
      <c r="J31" s="41" t="s">
        <v>100</v>
      </c>
      <c r="K31" s="49"/>
      <c r="L31" s="48" t="s">
        <v>167</v>
      </c>
      <c r="N31" s="41">
        <v>220</v>
      </c>
      <c r="O31" s="42" t="s">
        <v>53</v>
      </c>
      <c r="P31" s="41" t="s">
        <v>100</v>
      </c>
      <c r="Q31" s="41"/>
      <c r="R31" s="43" t="s">
        <v>190</v>
      </c>
    </row>
    <row r="32" spans="1:18" ht="16.5" customHeight="1" thickBot="1" x14ac:dyDescent="0.3">
      <c r="A32" s="30" t="s">
        <v>87</v>
      </c>
      <c r="B32" s="30" t="s">
        <v>17</v>
      </c>
      <c r="D32" s="30" t="s">
        <v>17</v>
      </c>
      <c r="E32" s="42" t="s">
        <v>138</v>
      </c>
      <c r="F32" s="42" t="s">
        <v>78</v>
      </c>
      <c r="H32" s="41">
        <v>471</v>
      </c>
      <c r="I32" s="42" t="s">
        <v>245</v>
      </c>
      <c r="J32" s="41" t="s">
        <v>100</v>
      </c>
      <c r="K32" s="46"/>
      <c r="L32" s="48">
        <v>63991009874</v>
      </c>
      <c r="N32" s="41">
        <v>219</v>
      </c>
      <c r="O32" s="42" t="s">
        <v>54</v>
      </c>
      <c r="P32" s="41" t="s">
        <v>100</v>
      </c>
      <c r="Q32" s="41"/>
      <c r="R32" s="43" t="s">
        <v>191</v>
      </c>
    </row>
    <row r="33" spans="1:18" ht="16.5" customHeight="1" thickBot="1" x14ac:dyDescent="0.3">
      <c r="A33" s="30" t="s">
        <v>88</v>
      </c>
      <c r="B33" s="30" t="s">
        <v>25</v>
      </c>
      <c r="D33" s="30" t="s">
        <v>25</v>
      </c>
      <c r="E33" s="42" t="s">
        <v>138</v>
      </c>
      <c r="F33" s="42" t="s">
        <v>49</v>
      </c>
      <c r="H33" s="41">
        <v>475</v>
      </c>
      <c r="I33" s="42" t="s">
        <v>216</v>
      </c>
      <c r="J33" s="41" t="s">
        <v>156</v>
      </c>
      <c r="K33" s="49"/>
      <c r="L33" s="48"/>
      <c r="N33" s="41">
        <v>269</v>
      </c>
      <c r="O33" s="42" t="s">
        <v>55</v>
      </c>
      <c r="P33" s="41" t="s">
        <v>156</v>
      </c>
      <c r="Q33" s="41"/>
      <c r="R33" s="43" t="s">
        <v>192</v>
      </c>
    </row>
    <row r="34" spans="1:18" ht="16.5" customHeight="1" thickBot="1" x14ac:dyDescent="0.3">
      <c r="A34" s="30" t="s">
        <v>89</v>
      </c>
      <c r="B34" s="30" t="s">
        <v>30</v>
      </c>
      <c r="D34" s="30" t="s">
        <v>30</v>
      </c>
      <c r="E34" s="42" t="s">
        <v>138</v>
      </c>
      <c r="F34" s="42" t="s">
        <v>146</v>
      </c>
      <c r="H34" s="41">
        <v>416</v>
      </c>
      <c r="I34" s="42" t="s">
        <v>169</v>
      </c>
      <c r="J34" s="41" t="s">
        <v>100</v>
      </c>
      <c r="K34" s="49"/>
      <c r="L34" s="48" t="s">
        <v>246</v>
      </c>
      <c r="N34" s="41">
        <v>49</v>
      </c>
      <c r="O34" s="42" t="s">
        <v>56</v>
      </c>
      <c r="P34" s="41" t="s">
        <v>100</v>
      </c>
      <c r="Q34" s="41"/>
      <c r="R34" s="43" t="s">
        <v>193</v>
      </c>
    </row>
    <row r="35" spans="1:18" ht="16.5" customHeight="1" thickBot="1" x14ac:dyDescent="0.3">
      <c r="A35" s="30" t="s">
        <v>90</v>
      </c>
      <c r="B35" s="30" t="s">
        <v>24</v>
      </c>
      <c r="D35" s="30" t="s">
        <v>24</v>
      </c>
      <c r="E35" s="42" t="s">
        <v>138</v>
      </c>
      <c r="F35" s="42" t="s">
        <v>48</v>
      </c>
      <c r="H35" s="41"/>
      <c r="I35" s="42" t="s">
        <v>247</v>
      </c>
      <c r="J35" s="41" t="s">
        <v>156</v>
      </c>
      <c r="K35" s="49"/>
      <c r="L35" s="48"/>
      <c r="N35" s="41">
        <v>57</v>
      </c>
      <c r="O35" s="42" t="s">
        <v>57</v>
      </c>
      <c r="P35" s="41" t="s">
        <v>100</v>
      </c>
      <c r="Q35" s="41"/>
      <c r="R35" s="43" t="s">
        <v>194</v>
      </c>
    </row>
    <row r="36" spans="1:18" ht="16.5" customHeight="1" thickBot="1" x14ac:dyDescent="0.3">
      <c r="A36" s="30" t="s">
        <v>92</v>
      </c>
      <c r="B36" s="30" t="s">
        <v>22</v>
      </c>
      <c r="D36" s="30" t="s">
        <v>22</v>
      </c>
      <c r="E36" s="42" t="s">
        <v>138</v>
      </c>
      <c r="F36" s="42" t="s">
        <v>146</v>
      </c>
      <c r="H36" s="41"/>
      <c r="I36" s="42" t="s">
        <v>248</v>
      </c>
      <c r="J36" s="41" t="s">
        <v>249</v>
      </c>
      <c r="K36" s="49"/>
      <c r="L36" s="48"/>
      <c r="N36" s="41">
        <v>183</v>
      </c>
      <c r="O36" s="42" t="s">
        <v>58</v>
      </c>
      <c r="P36" s="41" t="s">
        <v>100</v>
      </c>
      <c r="Q36" s="41"/>
      <c r="R36" s="43" t="s">
        <v>195</v>
      </c>
    </row>
    <row r="37" spans="1:18" ht="16.5" customHeight="1" thickBot="1" x14ac:dyDescent="0.3">
      <c r="A37" s="30" t="s">
        <v>93</v>
      </c>
      <c r="B37" s="30" t="s">
        <v>33</v>
      </c>
      <c r="D37" s="30" t="s">
        <v>33</v>
      </c>
      <c r="E37" s="42" t="s">
        <v>138</v>
      </c>
      <c r="F37" s="42" t="s">
        <v>78</v>
      </c>
      <c r="H37" s="50"/>
      <c r="I37" s="51" t="s">
        <v>250</v>
      </c>
      <c r="J37" s="50" t="s">
        <v>100</v>
      </c>
      <c r="N37" s="41">
        <v>208</v>
      </c>
      <c r="O37" s="42" t="s">
        <v>59</v>
      </c>
      <c r="P37" s="41" t="s">
        <v>100</v>
      </c>
      <c r="Q37" s="41"/>
      <c r="R37" s="43" t="s">
        <v>196</v>
      </c>
    </row>
    <row r="38" spans="1:18" ht="16.5" customHeight="1" thickBot="1" x14ac:dyDescent="0.3">
      <c r="A38" s="30" t="s">
        <v>94</v>
      </c>
      <c r="B38" s="30" t="s">
        <v>15</v>
      </c>
      <c r="D38" s="30" t="s">
        <v>15</v>
      </c>
      <c r="E38" s="42" t="s">
        <v>138</v>
      </c>
      <c r="F38" s="42" t="s">
        <v>40</v>
      </c>
      <c r="H38" s="50">
        <v>418</v>
      </c>
      <c r="I38" s="51" t="s">
        <v>170</v>
      </c>
      <c r="J38" s="50" t="s">
        <v>100</v>
      </c>
      <c r="N38" s="41">
        <v>429</v>
      </c>
      <c r="O38" s="42" t="s">
        <v>251</v>
      </c>
      <c r="P38" s="41" t="s">
        <v>100</v>
      </c>
      <c r="Q38" s="52"/>
      <c r="R38" s="45"/>
    </row>
    <row r="39" spans="1:18" ht="16.5" customHeight="1" thickBot="1" x14ac:dyDescent="0.3">
      <c r="A39" s="30" t="s">
        <v>97</v>
      </c>
      <c r="B39" s="30" t="s">
        <v>252</v>
      </c>
      <c r="D39" s="30" t="s">
        <v>252</v>
      </c>
      <c r="E39" s="42" t="s">
        <v>138</v>
      </c>
      <c r="F39" s="42" t="s">
        <v>57</v>
      </c>
      <c r="N39" s="41">
        <v>459</v>
      </c>
      <c r="O39" s="42" t="s">
        <v>253</v>
      </c>
      <c r="P39" s="49" t="s">
        <v>100</v>
      </c>
      <c r="Q39" s="53"/>
      <c r="R39" s="48"/>
    </row>
    <row r="40" spans="1:18" ht="16.5" customHeight="1" thickBot="1" x14ac:dyDescent="0.3">
      <c r="A40" s="30" t="s">
        <v>98</v>
      </c>
      <c r="B40" s="30" t="s">
        <v>23</v>
      </c>
      <c r="D40" s="30" t="s">
        <v>23</v>
      </c>
      <c r="E40" s="42" t="s">
        <v>138</v>
      </c>
      <c r="F40" s="42" t="s">
        <v>55</v>
      </c>
      <c r="N40" s="41">
        <v>464</v>
      </c>
      <c r="O40" s="42" t="s">
        <v>207</v>
      </c>
      <c r="P40" s="49" t="s">
        <v>100</v>
      </c>
      <c r="Q40" s="53"/>
      <c r="R40" s="48"/>
    </row>
    <row r="41" spans="1:18" ht="16.5" customHeight="1" thickBot="1" x14ac:dyDescent="0.3">
      <c r="A41" s="30" t="s">
        <v>101</v>
      </c>
      <c r="B41" s="30" t="s">
        <v>254</v>
      </c>
      <c r="D41" s="30" t="s">
        <v>254</v>
      </c>
      <c r="E41" s="42" t="s">
        <v>138</v>
      </c>
      <c r="F41" s="42" t="s">
        <v>50</v>
      </c>
      <c r="N41" s="41"/>
      <c r="O41" s="42" t="s">
        <v>255</v>
      </c>
      <c r="P41" s="49" t="s">
        <v>156</v>
      </c>
      <c r="Q41" s="53"/>
      <c r="R41" s="48"/>
    </row>
    <row r="42" spans="1:18" ht="15.75" thickBot="1" x14ac:dyDescent="0.3">
      <c r="A42" s="30" t="s">
        <v>102</v>
      </c>
      <c r="B42" s="30" t="s">
        <v>256</v>
      </c>
      <c r="D42" s="30" t="s">
        <v>256</v>
      </c>
      <c r="E42" s="42" t="s">
        <v>138</v>
      </c>
      <c r="F42" s="42" t="s">
        <v>134</v>
      </c>
      <c r="N42" s="41">
        <v>440</v>
      </c>
      <c r="O42" s="42" t="s">
        <v>257</v>
      </c>
      <c r="P42" s="49" t="s">
        <v>100</v>
      </c>
      <c r="Q42" s="53"/>
      <c r="R42" s="48"/>
    </row>
    <row r="43" spans="1:18" ht="16.5" thickBot="1" x14ac:dyDescent="0.3">
      <c r="A43" s="32" t="s">
        <v>125</v>
      </c>
      <c r="B43" s="30" t="s">
        <v>208</v>
      </c>
      <c r="D43" s="30" t="s">
        <v>208</v>
      </c>
      <c r="E43" s="42" t="s">
        <v>138</v>
      </c>
      <c r="F43" s="42" t="s">
        <v>141</v>
      </c>
    </row>
    <row r="44" spans="1:18" ht="16.5" thickBot="1" x14ac:dyDescent="0.3">
      <c r="A44" s="33" t="s">
        <v>126</v>
      </c>
      <c r="B44" s="30" t="s">
        <v>205</v>
      </c>
      <c r="D44" s="30" t="s">
        <v>205</v>
      </c>
      <c r="E44" s="42" t="s">
        <v>138</v>
      </c>
    </row>
    <row r="45" spans="1:18" ht="16.5" thickBot="1" x14ac:dyDescent="0.3">
      <c r="A45" s="33" t="s">
        <v>133</v>
      </c>
      <c r="B45" s="30" t="s">
        <v>32</v>
      </c>
      <c r="D45" s="30" t="s">
        <v>32</v>
      </c>
      <c r="E45" s="42" t="s">
        <v>138</v>
      </c>
    </row>
    <row r="46" spans="1:18" ht="16.5" thickBot="1" x14ac:dyDescent="0.3">
      <c r="A46" s="33" t="s">
        <v>127</v>
      </c>
      <c r="B46" s="30" t="s">
        <v>35</v>
      </c>
      <c r="D46" s="30" t="s">
        <v>35</v>
      </c>
      <c r="E46" s="42" t="s">
        <v>138</v>
      </c>
    </row>
    <row r="47" spans="1:18" ht="16.5" thickBot="1" x14ac:dyDescent="0.3">
      <c r="A47" s="33" t="s">
        <v>128</v>
      </c>
      <c r="B47" s="30" t="s">
        <v>258</v>
      </c>
      <c r="D47" s="30" t="s">
        <v>258</v>
      </c>
      <c r="E47" s="42" t="s">
        <v>138</v>
      </c>
    </row>
    <row r="48" spans="1:18" ht="16.5" thickBot="1" x14ac:dyDescent="0.3">
      <c r="A48" s="33" t="s">
        <v>129</v>
      </c>
      <c r="B48" s="30" t="s">
        <v>259</v>
      </c>
      <c r="D48" s="30" t="s">
        <v>259</v>
      </c>
      <c r="E48" s="42" t="s">
        <v>138</v>
      </c>
    </row>
    <row r="49" spans="1:1" ht="32.25" thickBot="1" x14ac:dyDescent="0.3">
      <c r="A49" s="34" t="s">
        <v>130</v>
      </c>
    </row>
  </sheetData>
  <autoFilter ref="A1:F48" xr:uid="{9BE1025C-EC2C-4C5F-B28A-0BDFDFA5D0CD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Escala</vt:lpstr>
      <vt:lpstr>BD</vt:lpstr>
      <vt:lpstr>Escala!Area_de_impressao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Faturamento JR</cp:lastModifiedBy>
  <cp:lastPrinted>2026-08-07T11:03:55Z</cp:lastPrinted>
  <dcterms:created xsi:type="dcterms:W3CDTF">2025-01-04T14:30:02Z</dcterms:created>
  <dcterms:modified xsi:type="dcterms:W3CDTF">2026-08-07T12:32:09Z</dcterms:modified>
</cp:coreProperties>
</file>